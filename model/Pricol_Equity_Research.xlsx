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159b54b6274f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Cover" sheetId="1" r:id="R77d764d5ce2742b2"/>
    <x:sheet xmlns:r="http://schemas.openxmlformats.org/officeDocument/2006/relationships" name="01_Summary" sheetId="2" r:id="Rf57fa9ba35244ba4"/>
    <x:sheet xmlns:r="http://schemas.openxmlformats.org/officeDocument/2006/relationships" name="02_Assumptions" sheetId="3" r:id="Rba4e83c966594ae1"/>
    <x:sheet xmlns:r="http://schemas.openxmlformats.org/officeDocument/2006/relationships" name="03_Income_Statement" sheetId="4" r:id="R4835411c05a94b7c"/>
    <x:sheet xmlns:r="http://schemas.openxmlformats.org/officeDocument/2006/relationships" name="04_Balance_Sheet" sheetId="5" r:id="Rf454f8b824c54409"/>
    <x:sheet xmlns:r="http://schemas.openxmlformats.org/officeDocument/2006/relationships" name="05_Cash_Flow" sheetId="6" r:id="Rbf879d79d0f547b9"/>
    <x:sheet xmlns:r="http://schemas.openxmlformats.org/officeDocument/2006/relationships" name="06_Schedules" sheetId="7" r:id="Rc3dcd6335d774900"/>
    <x:sheet xmlns:r="http://schemas.openxmlformats.org/officeDocument/2006/relationships" name="07_FCF" sheetId="8" r:id="Raf9afe33ebe840e8"/>
    <x:sheet xmlns:r="http://schemas.openxmlformats.org/officeDocument/2006/relationships" name="08_DCF" sheetId="9" r:id="Radb57549751d4ace"/>
    <x:sheet xmlns:r="http://schemas.openxmlformats.org/officeDocument/2006/relationships" name="09_Reverse_DCF" sheetId="10" r:id="R5b8e1acfb0614121"/>
    <x:sheet xmlns:r="http://schemas.openxmlformats.org/officeDocument/2006/relationships" name="10_Historical" sheetId="11" r:id="Rf8c3e7b066824d7d"/>
    <x:sheet xmlns:r="http://schemas.openxmlformats.org/officeDocument/2006/relationships" name="11_Sources" sheetId="12" r:id="R0ed7da761da94912"/>
  </x:sheets>
</x:workbook>
</file>

<file path=xl/comments1.xml><?xml version="1.0" encoding="utf-8"?>
<x:comments xmlns:x="http://schemas.openxmlformats.org/spreadsheetml/2006/main">
  <x:authors>
    <x:author/>
  </x:authors>
  <x:commentList>
    <x:comment ref="N13" authorId="0">
      <x:text>
        <x:r>
          <x:t>Management commentary: August 2026 capex plan is approximately ₹700 crore over 18–24 months, including about ₹400 crore for polymers. The equal two-year split is a model assumption.</x:t>
        </x:r>
      </x:text>
    </x:comment>
    <x:comment ref="N20" authorId="0">
      <x:text>
        <x:r>
          <x:t>Management commentary: Q1 FY2027 polymer revenue was approximately ₹249 crore. Management expects healthier subsequent quarters and about 20% growth after capacity expansion.</x:t>
        </x:r>
      </x:text>
    </x:comment>
    <x:comment ref="N27" authorId="0">
      <x:text>
        <x:r>
          <x:t>Management commentary: polymer turnover capacity is approximately ₹1,000 crore currently and ₹2,000 crore after expansion from FY2028. Capacity is not guaranteed sales.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.0;(#,##0.0);&quot;-&quot;"/>
    <x:numFmt numFmtId="201" formatCode="0.0%;(0.0%);&quot;-&quot;"/>
    <x:numFmt numFmtId="202" formatCode="&quot;₹&quot;#,##0.00;(&quot;₹&quot;#,##0.00);&quot;-&quot;"/>
    <x:numFmt numFmtId="203" formatCode="dd-mmm-yyyy"/>
    <x:numFmt numFmtId="204" formatCode="0.0&quot;x&quot;"/>
    <x:numFmt numFmtId="205" formatCode="0.00"/>
  </x:numFmts>
  <x:fonts count="15">
    <x:font>
      <x:sz val="11"/>
      <x:name val="Carlito"/>
    </x:font>
    <x:font>
      <x:sz val="10"/>
      <x:color rgb="FF000000"/>
      <x:name val="Arial"/>
    </x:font>
    <x:font>
      <x:sz val="10"/>
      <x:color rgb="FF2F343B"/>
      <x:name val="Arial"/>
    </x:font>
    <x:font>
      <x:sz val="10"/>
      <x:color rgb="FF0000FF"/>
      <x:name val="Arial"/>
    </x:font>
    <x:font>
      <x:b/>
      <x:sz val="16"/>
      <x:color rgb="FF2F343B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263B35"/>
      <x:name val="Arial"/>
    </x:font>
    <x:font>
      <x:b/>
      <x:sz val="10"/>
      <x:color rgb="FF2F343B"/>
      <x:name val="Arial"/>
    </x:font>
    <x:font>
      <x:b/>
      <x:sz val="10"/>
      <x:color rgb="FF000000"/>
      <x:name val="Arial"/>
    </x:font>
    <x:font>
      <x:b/>
      <x:sz val="10"/>
      <x:color rgb="FF008000"/>
      <x:name val="Arial"/>
    </x:font>
    <x:font>
      <x:b/>
      <x:sz val="10"/>
      <x:color rgb="FF0000FF"/>
      <x:name val="Arial"/>
    </x:font>
    <x:font>
      <x:b/>
      <x:sz val="25"/>
      <x:color rgb="FF2F343B"/>
      <x:name val="Arial"/>
    </x:font>
    <x:font>
      <x:b/>
      <x:sz val="12"/>
      <x:color rgb="FF3F6B60"/>
      <x:name val="Arial"/>
    </x:font>
    <x:font>
      <x:sz val="10"/>
      <x:color rgb="FF555555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3F6B60"/>
      </x:patternFill>
    </x:fill>
    <x:fill>
      <x:patternFill patternType="solid">
        <x:fgColor rgb="FFE8EFEC"/>
      </x:patternFill>
    </x:fill>
    <x:fill>
      <x:patternFill patternType="solid">
        <x:fgColor rgb="FFFFF2CF"/>
      </x:patternFill>
    </x:fill>
    <x:fill>
      <x:patternFill patternType="solid">
        <x:fgColor rgb="FFF0F4F2"/>
      </x:patternFill>
    </x:fill>
    <x:fill>
      <x:patternFill patternType="solid">
        <x:fgColor rgb="FFFAFA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8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horizontal="right" vertical="center"/>
    </x:xf>
    <x:xf numFmtId="0" fontId="2" fillId="2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horizontal="right" vertical="center"/>
    </x:xf>
    <x:xf numFmtId="0" fontId="4" fillId="2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horizontal="center" vertical="center"/>
    </x:xf>
    <x:xf numFmtId="200" fontId="6" fillId="2" borderId="0" xfId="0" applyNumberFormat="1" applyFont="1" applyFill="1" applyBorder="1" applyAlignment="1">
      <x:alignment horizontal="right" vertical="center"/>
    </x:xf>
    <x:xf numFmtId="0" fontId="6" fillId="2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horizontal="right" vertical="center"/>
    </x:xf>
    <x:xf numFmtId="0" fontId="7" fillId="4" borderId="0" xfId="0" applyNumberFormat="1" applyFont="1" applyFill="1" applyBorder="1" applyAlignment="1">
      <x:alignment vertical="center"/>
    </x:xf>
    <x:xf numFmtId="200" fontId="7" fillId="4" borderId="0" xfId="0" applyNumberFormat="1" applyFont="1" applyFill="1" applyBorder="1" applyAlignment="1">
      <x:alignment horizontal="right" vertical="center"/>
    </x:xf>
    <x:xf numFmtId="0" fontId="8" fillId="2" borderId="0" xfId="0" applyNumberFormat="1" applyFont="1" applyFill="1" applyBorder="1" applyAlignment="1">
      <x:alignment vertical="center"/>
    </x:xf>
    <x:xf numFmtId="0" fontId="9" fillId="2" borderId="0" xfId="0" applyNumberFormat="1" applyFont="1" applyFill="1" applyBorder="1" applyAlignment="1">
      <x:alignment vertical="center"/>
    </x:xf>
    <x:xf numFmtId="200" fontId="9" fillId="2" borderId="0" xfId="0" applyNumberFormat="1" applyFont="1" applyFill="1" applyBorder="1" applyAlignment="1">
      <x:alignment horizontal="right" vertical="center"/>
    </x:xf>
    <x:xf numFmtId="200" fontId="10" fillId="2" borderId="0" xfId="0" applyNumberFormat="1" applyFont="1" applyFill="1" applyBorder="1" applyAlignment="1">
      <x:alignment horizontal="right" vertical="center"/>
    </x:xf>
    <x:xf numFmtId="201" fontId="1" fillId="2" borderId="0" xfId="0" applyNumberFormat="1" applyFont="1" applyFill="1" applyBorder="1" applyAlignment="1">
      <x:alignment horizontal="right"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/>
    </x:xf>
    <x:xf numFmtId="200" fontId="2" fillId="2" borderId="0" xfId="0" applyNumberFormat="1" applyFont="1" applyFill="1" applyBorder="1" applyAlignment="1">
      <x:alignment horizontal="right" vertical="center"/>
    </x:xf>
    <x:xf numFmtId="0" fontId="3" fillId="5" borderId="0" xfId="0" applyNumberFormat="1" applyFont="1" applyFill="1" applyBorder="1" applyAlignment="1">
      <x:alignment vertical="center"/>
    </x:xf>
    <x:xf numFmtId="0" fontId="11" fillId="5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200" fontId="1" fillId="6" borderId="0" xfId="0" applyNumberFormat="1" applyFont="1" applyFill="1" applyBorder="1" applyAlignment="1">
      <x:alignment horizontal="right" vertical="center"/>
    </x:xf>
    <x:xf numFmtId="0" fontId="8" fillId="6" borderId="0" xfId="0" applyNumberFormat="1" applyFont="1" applyFill="1" applyBorder="1" applyAlignment="1">
      <x:alignment vertical="center"/>
    </x:xf>
    <x:xf numFmtId="0" fontId="9" fillId="6" borderId="0" xfId="0" applyNumberFormat="1" applyFont="1" applyFill="1" applyBorder="1" applyAlignment="1">
      <x:alignment vertical="center"/>
    </x:xf>
    <x:xf numFmtId="200" fontId="9" fillId="6" borderId="0" xfId="0" applyNumberFormat="1" applyFont="1" applyFill="1" applyBorder="1" applyAlignment="1">
      <x:alignment horizontal="right" vertical="center"/>
    </x:xf>
    <x:xf numFmtId="201" fontId="9" fillId="6" borderId="0" xfId="0" applyNumberFormat="1" applyFont="1" applyFill="1" applyBorder="1" applyAlignment="1">
      <x:alignment horizontal="right" vertical="center"/>
    </x:xf>
    <x:xf numFmtId="201" fontId="3" fillId="2" borderId="0" xfId="0" applyNumberFormat="1" applyFont="1" applyFill="1" applyBorder="1" applyAlignment="1">
      <x:alignment horizontal="right" vertical="center"/>
    </x:xf>
    <x:xf numFmtId="201" fontId="6" fillId="2" borderId="0" xfId="0" applyNumberFormat="1" applyFont="1" applyFill="1" applyBorder="1" applyAlignment="1">
      <x:alignment horizontal="right" vertical="center"/>
    </x:xf>
    <x:xf numFmtId="200" fontId="2" fillId="3" borderId="0" xfId="0" applyNumberFormat="1" applyFont="1" applyFill="1" applyBorder="1" applyAlignment="1">
      <x:alignment horizontal="right" vertical="center"/>
    </x:xf>
    <x:xf numFmtId="200" fontId="5" fillId="3" borderId="0" xfId="0" applyNumberFormat="1" applyFont="1" applyFill="1" applyBorder="1" applyAlignment="1">
      <x:alignment horizontal="right" vertical="center"/>
    </x:xf>
    <x:xf numFmtId="0" fontId="8" fillId="4" borderId="0" xfId="0" applyNumberFormat="1" applyFont="1" applyFill="1" applyBorder="1" applyAlignment="1">
      <x:alignment vertical="center"/>
    </x:xf>
    <x:xf numFmtId="202" fontId="3" fillId="2" borderId="0" xfId="0" applyNumberFormat="1" applyFont="1" applyFill="1" applyBorder="1" applyAlignment="1">
      <x:alignment horizontal="right" vertical="center"/>
    </x:xf>
    <x:xf numFmtId="203" fontId="3" fillId="2" borderId="0" xfId="0" applyNumberFormat="1" applyFont="1" applyFill="1" applyBorder="1" applyAlignment="1">
      <x:alignment horizontal="right" vertical="center"/>
    </x:xf>
    <x:xf numFmtId="200" fontId="8" fillId="4" borderId="0" xfId="0" applyNumberFormat="1" applyFont="1" applyFill="1" applyBorder="1" applyAlignment="1">
      <x:alignment horizontal="right" vertical="center"/>
    </x:xf>
    <x:xf numFmtId="200" fontId="11" fillId="4" borderId="0" xfId="0" applyNumberFormat="1" applyFont="1" applyFill="1" applyBorder="1" applyAlignment="1">
      <x:alignment horizontal="right" vertical="center"/>
    </x:xf>
    <x:xf numFmtId="204" fontId="11" fillId="4" borderId="0" xfId="0" applyNumberFormat="1" applyFont="1" applyFill="1" applyBorder="1" applyAlignment="1">
      <x:alignment horizontal="right" vertical="center"/>
    </x:xf>
    <x:xf numFmtId="200" fontId="7" fillId="4" borderId="0" xfId="0" applyNumberFormat="1" applyFont="1" applyFill="1" applyBorder="1" applyAlignment="1">
      <x:alignment horizontal="left" vertical="center"/>
    </x:xf>
    <x:xf numFmtId="200" fontId="1" fillId="2" borderId="0" xfId="0" applyNumberFormat="1" applyFont="1" applyFill="1" applyBorder="1" applyAlignment="1">
      <x:alignment horizontal="left" vertical="center"/>
    </x:xf>
    <x:xf numFmtId="200" fontId="2" fillId="2" borderId="0" xfId="0" applyNumberFormat="1" applyFont="1" applyFill="1" applyBorder="1" applyAlignment="1">
      <x:alignment horizontal="left" vertical="center"/>
    </x:xf>
    <x:xf numFmtId="200" fontId="8" fillId="4" borderId="0" xfId="0" applyNumberFormat="1" applyFont="1" applyFill="1" applyBorder="1" applyAlignment="1">
      <x:alignment horizontal="left" vertical="center"/>
    </x:xf>
    <x:xf numFmtId="0" fontId="9" fillId="4" borderId="0" xfId="0" applyNumberFormat="1" applyFont="1" applyFill="1" applyBorder="1" applyAlignment="1">
      <x:alignment vertical="center"/>
    </x:xf>
    <x:xf numFmtId="200" fontId="9" fillId="4" borderId="0" xfId="0" applyNumberFormat="1" applyFont="1" applyFill="1" applyBorder="1" applyAlignment="1">
      <x:alignment horizontal="right" vertical="center"/>
    </x:xf>
    <x:xf numFmtId="205" fontId="6" fillId="2" borderId="0" xfId="0" applyNumberFormat="1" applyFont="1" applyFill="1" applyBorder="1" applyAlignment="1">
      <x:alignment horizontal="right" vertical="center"/>
    </x:xf>
    <x:xf numFmtId="205" fontId="1" fillId="2" borderId="0" xfId="0" applyNumberFormat="1" applyFont="1" applyFill="1" applyBorder="1" applyAlignment="1">
      <x:alignment horizontal="right" vertical="center"/>
    </x:xf>
    <x:xf numFmtId="202" fontId="1" fillId="2" borderId="0" xfId="0" applyNumberFormat="1" applyFont="1" applyFill="1" applyBorder="1" applyAlignment="1">
      <x:alignment horizontal="right" vertical="center"/>
    </x:xf>
    <x:xf numFmtId="202" fontId="6" fillId="2" borderId="0" xfId="0" applyNumberFormat="1" applyFont="1" applyFill="1" applyBorder="1" applyAlignment="1">
      <x:alignment horizontal="right" vertical="center"/>
    </x:xf>
    <x:xf numFmtId="202" fontId="1" fillId="4" borderId="0" xfId="0" applyNumberFormat="1" applyFont="1" applyFill="1" applyBorder="1" applyAlignment="1">
      <x:alignment horizontal="right" vertical="center"/>
    </x:xf>
    <x:xf numFmtId="202" fontId="9" fillId="4" borderId="0" xfId="0" applyNumberFormat="1" applyFont="1" applyFill="1" applyBorder="1" applyAlignment="1">
      <x:alignment horizontal="right" vertical="center"/>
    </x:xf>
    <x:xf numFmtId="204" fontId="6" fillId="2" borderId="0" xfId="0" applyNumberFormat="1" applyFont="1" applyFill="1" applyBorder="1" applyAlignment="1">
      <x:alignment horizontal="right" vertical="center"/>
    </x:xf>
    <x:xf numFmtId="204" fontId="10" fillId="2" borderId="0" xfId="0" applyNumberFormat="1" applyFont="1" applyFill="1" applyBorder="1" applyAlignment="1">
      <x:alignment horizontal="right" vertical="center"/>
    </x:xf>
    <x:xf numFmtId="202" fontId="9" fillId="2" borderId="0" xfId="0" applyNumberFormat="1" applyFont="1" applyFill="1" applyBorder="1" applyAlignment="1">
      <x:alignment horizontal="right" vertical="center"/>
    </x:xf>
    <x:xf numFmtId="201" fontId="10" fillId="2" borderId="0" xfId="0" applyNumberFormat="1" applyFont="1" applyFill="1" applyBorder="1" applyAlignment="1">
      <x:alignment horizontal="right" vertical="center"/>
    </x:xf>
    <x:xf numFmtId="0" fontId="1" fillId="7" borderId="0" xfId="0" applyNumberFormat="1" applyFont="1" applyFill="1" applyBorder="1" applyAlignment="1">
      <x:alignment vertical="center"/>
    </x:xf>
    <x:xf numFmtId="200" fontId="1" fillId="7" borderId="0" xfId="0" applyNumberFormat="1" applyFont="1" applyFill="1" applyBorder="1" applyAlignment="1">
      <x:alignment horizontal="right" vertical="center"/>
    </x:xf>
    <x:xf numFmtId="0" fontId="2" fillId="7" borderId="0" xfId="0" applyNumberFormat="1" applyFont="1" applyFill="1" applyBorder="1" applyAlignment="1">
      <x:alignment vertical="center"/>
    </x:xf>
    <x:xf numFmtId="0" fontId="12" fillId="7" borderId="0" xfId="0" applyNumberFormat="1" applyFont="1" applyFill="1" applyBorder="1" applyAlignment="1">
      <x:alignment vertical="center"/>
    </x:xf>
    <x:xf numFmtId="0" fontId="13" fillId="7" borderId="0" xfId="0" applyNumberFormat="1" applyFont="1" applyFill="1" applyBorder="1" applyAlignment="1">
      <x:alignment vertical="center"/>
    </x:xf>
    <x:xf numFmtId="200" fontId="6" fillId="7" borderId="0" xfId="0" applyNumberFormat="1" applyFont="1" applyFill="1" applyBorder="1" applyAlignment="1">
      <x:alignment horizontal="right" vertical="center"/>
    </x:xf>
    <x:xf numFmtId="203" fontId="6" fillId="7" borderId="0" xfId="0" applyNumberFormat="1" applyFont="1" applyFill="1" applyBorder="1" applyAlignment="1">
      <x:alignment horizontal="right" vertical="center"/>
    </x:xf>
    <x:xf numFmtId="202" fontId="6" fillId="7" borderId="0" xfId="0" applyNumberFormat="1" applyFont="1" applyFill="1" applyBorder="1" applyAlignment="1">
      <x:alignment horizontal="right" vertical="center"/>
    </x:xf>
    <x:xf numFmtId="0" fontId="8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2" fontId="10" fillId="7" borderId="0" xfId="0" applyNumberFormat="1" applyFont="1" applyFill="1" applyBorder="1" applyAlignment="1">
      <x:alignment horizontal="right" vertical="center"/>
    </x:xf>
    <x:xf numFmtId="201" fontId="6" fillId="7" borderId="0" xfId="0" applyNumberFormat="1" applyFont="1" applyFill="1" applyBorder="1" applyAlignment="1">
      <x:alignment horizontal="right" vertical="center"/>
    </x:xf>
    <x:xf numFmtId="201" fontId="10" fillId="7" borderId="0" xfId="0" applyNumberFormat="1" applyFont="1" applyFill="1" applyBorder="1" applyAlignment="1">
      <x:alignment horizontal="right" vertical="center"/>
    </x:xf>
    <x:xf numFmtId="0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wrapText="0"/>
    </x:xf>
    <x:xf numFmtId="0" fontId="14" fillId="0" borderId="0" xfId="0" applyNumberFormat="1" applyFont="1" applyFill="1" applyBorder="1" applyAlignment="1">
      <x:alignment horizontal="left" wrapText="0"/>
    </x:xf>
    <x:xf numFmtId="0" fontId="2" fillId="0" borderId="0" xfId="0" applyNumberFormat="1" applyFont="1" applyFill="1" applyBorder="1" applyAlignment="1">
      <x:alignment horizontal="left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51e7614a4741d8" /><Relationship Type="http://schemas.openxmlformats.org/officeDocument/2006/relationships/theme" Target="/xl/theme/theme1.xml" Id="R18f8bf9c52554544" /><Relationship Type="http://schemas.openxmlformats.org/officeDocument/2006/relationships/sharedStrings" Target="/xl/sharedStrings.xml" Id="R0dd0c79cff014d65" /><Relationship Type="http://schemas.openxmlformats.org/officeDocument/2006/relationships/worksheet" Target="/xl/worksheets/sheet1.xml" Id="R77d764d5ce2742b2" /><Relationship Type="http://schemas.openxmlformats.org/officeDocument/2006/relationships/worksheet" Target="/xl/worksheets/sheet2.xml" Id="Rf57fa9ba35244ba4" /><Relationship Type="http://schemas.openxmlformats.org/officeDocument/2006/relationships/worksheet" Target="/xl/worksheets/sheet3.xml" Id="Rba4e83c966594ae1" /><Relationship Type="http://schemas.openxmlformats.org/officeDocument/2006/relationships/worksheet" Target="/xl/worksheets/sheet4.xml" Id="R4835411c05a94b7c" /><Relationship Type="http://schemas.openxmlformats.org/officeDocument/2006/relationships/worksheet" Target="/xl/worksheets/sheet5.xml" Id="Rf454f8b824c54409" /><Relationship Type="http://schemas.openxmlformats.org/officeDocument/2006/relationships/worksheet" Target="/xl/worksheets/sheet6.xml" Id="Rbf879d79d0f547b9" /><Relationship Type="http://schemas.openxmlformats.org/officeDocument/2006/relationships/worksheet" Target="/xl/worksheets/sheet7.xml" Id="Rc3dcd6335d774900" /><Relationship Type="http://schemas.openxmlformats.org/officeDocument/2006/relationships/worksheet" Target="/xl/worksheets/sheet8.xml" Id="Raf9afe33ebe840e8" /><Relationship Type="http://schemas.openxmlformats.org/officeDocument/2006/relationships/worksheet" Target="/xl/worksheets/sheet9.xml" Id="Radb57549751d4ace" /><Relationship Type="http://schemas.openxmlformats.org/officeDocument/2006/relationships/worksheet" Target="/xl/worksheets/sheet10.xml" Id="R5b8e1acfb0614121" /><Relationship Type="http://schemas.openxmlformats.org/officeDocument/2006/relationships/worksheet" Target="/xl/worksheets/sheet11.xml" Id="Rf8c3e7b066824d7d" /><Relationship Type="http://schemas.openxmlformats.org/officeDocument/2006/relationships/worksheet" Target="/xl/worksheets/sheet12.xml" Id="R0ed7da761da9491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06b0b51f4034270" /><Relationship Type="http://schemas.openxmlformats.org/officeDocument/2006/relationships/chart" Target="/xl/drawings/charts/chart2.xml" Id="R98df9e7b7a8e4d1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Revenue (₹ crore)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Revenue</c:v>
          </c:tx>
          <c:spPr>
            <a:ln xmlns:a="http://schemas.openxmlformats.org/drawingml/2006/main" w="19050">
              <a:solidFill>
                <a:srgbClr val="3F6B60"/>
              </a:solidFill>
              <a:prstDash val="solid"/>
            </a:ln>
          </c:spPr>
          <c:marker>
            <c:symbol val="none"/>
          </c:marker>
          <c:cat>
            <c:strRef>
              <c:f>'01_Summary'!$A$26:$A$35</c:f>
              <c:strCache>
                <c:ptCount val="0"/>
              </c:strCache>
            </c:strRef>
          </c:cat>
          <c:val>
            <c:numRef>
              <c:f>'01_Summary'!$C$26:$C$35</c:f>
              <c:numCache>
                <c:formatCode>#,##0.0;(#,##0.0);"-"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Operating EBITDA margin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EBITDA margin</c:v>
          </c:tx>
          <c:spPr>
            <a:ln xmlns:a="http://schemas.openxmlformats.org/drawingml/2006/main" w="19050">
              <a:solidFill>
                <a:srgbClr val="3F6B60"/>
              </a:solidFill>
              <a:prstDash val="solid"/>
            </a:ln>
          </c:spPr>
          <c:marker>
            <c:symbol val="none"/>
          </c:marker>
          <c:cat>
            <c:strRef>
              <c:f>'01_Summary'!$A$26:$A$35</c:f>
              <c:strCache>
                <c:ptCount val="0"/>
              </c:strCache>
            </c:strRef>
          </c:cat>
          <c:val>
            <c:numRef>
              <c:f>'01_Summary'!$D$26:$D$35</c:f>
              <c:numCache>
                <c:formatCode>0.0%;(0.0%);"-"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24</xdr:row>
      <xdr:rowOff>0</xdr:rowOff>
    </xdr:from>
    <xdr:to>
      <xdr:col>12</xdr:col>
      <xdr:colOff>0</xdr:colOff>
      <xdr:row>38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06b0b51f4034270"/>
        </a:graphicData>
      </a:graphic>
    </xdr:graphicFrame>
    <xdr:clientData/>
  </xdr:twoCellAnchor>
  <xdr:twoCellAnchor>
    <xdr:from>
      <xdr:col>5</xdr:col>
      <xdr:colOff>0</xdr:colOff>
      <xdr:row>39</xdr:row>
      <xdr:rowOff>0</xdr:rowOff>
    </xdr:from>
    <xdr:to>
      <xdr:col>12</xdr:col>
      <xdr:colOff>0</xdr:colOff>
      <xdr:row>53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df9e7b7a8e4d1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5fe1ddf48c524ef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1.xml" Id="Rdce30b48af634548" /><Relationship Type="http://schemas.openxmlformats.org/officeDocument/2006/relationships/vmlDrawing" Target="/xl/drawings/vmldrawing.vml" Id="R4edf230e7b2e4f2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9" hidden="0" customWidth="1"/>
    <x:col min="2" max="2" width="3" hidden="0" customWidth="1"/>
    <x:col min="3" max="3" width="30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3" hidden="0" customWidth="1"/>
    <x:col min="14" max="14" width="58" hidden="0" customWidth="1"/>
  </x:cols>
  <x:sheetData>
    <x:row r="1" ht="21" customHeight="1">
      <x:c r="A1" s="63"/>
      <x:c r="B1" s="63"/>
      <x:c r="C1" s="63"/>
      <x:c r="D1" s="63"/>
      <x:c r="E1" s="3"/>
      <x:c r="F1" s="3"/>
      <x:c r="G1" s="3"/>
      <x:c r="H1" s="3"/>
      <x:c r="I1" s="3"/>
      <x:c r="J1" s="3"/>
      <x:c r="K1" s="3"/>
      <x:c r="L1" s="3"/>
      <x:c r="M1" s="3"/>
      <x:c r="N1" s="78"/>
    </x:row>
    <x:row r="2" ht="21" customHeight="1">
      <x:c r="A2" s="63"/>
      <x:c r="B2" s="63"/>
      <x:c r="C2" s="63"/>
      <x:c r="D2" s="63"/>
      <x:c r="E2" s="3"/>
      <x:c r="F2" s="3"/>
      <x:c r="G2" s="3"/>
      <x:c r="H2" s="3"/>
      <x:c r="I2" s="3"/>
      <x:c r="J2" s="3"/>
      <x:c r="K2" s="3"/>
      <x:c r="L2" s="3"/>
      <x:c r="M2" s="3"/>
      <x:c r="N2" s="78"/>
    </x:row>
    <x:row r="3" ht="43" customHeight="1">
      <x:c r="A3" s="66" t="str">
        <x:v>PRICOL LIMITED</x:v>
      </x:c>
      <x:c r="B3" s="63"/>
      <x:c r="C3" s="63"/>
      <x:c r="D3" s="63"/>
      <x:c r="E3" s="3"/>
      <x:c r="F3" s="3"/>
      <x:c r="G3" s="3"/>
      <x:c r="H3" s="3"/>
      <x:c r="I3" s="3"/>
      <x:c r="J3" s="3"/>
      <x:c r="K3" s="3"/>
      <x:c r="L3" s="3"/>
      <x:c r="M3" s="3"/>
      <x:c r="N3" s="78"/>
    </x:row>
    <x:row r="4" ht="21" customHeight="1">
      <x:c r="A4" s="63"/>
      <x:c r="B4" s="63"/>
      <x:c r="C4" s="63"/>
      <x:c r="D4" s="63"/>
      <x:c r="E4" s="3"/>
      <x:c r="F4" s="3"/>
      <x:c r="G4" s="3"/>
      <x:c r="H4" s="3"/>
      <x:c r="I4" s="3"/>
      <x:c r="J4" s="3"/>
      <x:c r="K4" s="3"/>
      <x:c r="L4" s="3"/>
      <x:c r="M4" s="3"/>
      <x:c r="N4" s="78"/>
    </x:row>
    <x:row r="5" ht="21" customHeight="1">
      <x:c r="A5" s="67" t="str">
        <x:v>Equity Research and Valuation</x:v>
      </x:c>
      <x:c r="B5" s="63"/>
      <x:c r="C5" s="63"/>
      <x:c r="D5" s="63"/>
      <x:c r="E5" s="3"/>
      <x:c r="F5" s="3"/>
      <x:c r="G5" s="3"/>
      <x:c r="H5" s="3"/>
      <x:c r="I5" s="3"/>
      <x:c r="J5" s="3"/>
      <x:c r="K5" s="3"/>
      <x:c r="L5" s="3"/>
      <x:c r="M5" s="3"/>
      <x:c r="N5" s="78"/>
    </x:row>
    <x:row r="6" ht="21" customHeight="1">
      <x:c r="A6" s="63"/>
      <x:c r="B6" s="63"/>
      <x:c r="C6" s="64"/>
      <x:c r="D6" s="64"/>
      <x:c r="E6" s="5"/>
      <x:c r="F6" s="5"/>
      <x:c r="G6" s="5"/>
      <x:c r="H6" s="5"/>
      <x:c r="I6" s="5"/>
      <x:c r="J6" s="5"/>
      <x:c r="K6" s="5"/>
      <x:c r="L6" s="5"/>
      <x:c r="M6" s="3"/>
      <x:c r="N6" s="78"/>
    </x:row>
    <x:row r="7" ht="21" customHeight="1">
      <x:c r="A7" s="65" t="str">
        <x:v>Consolidated financial model</x:v>
      </x:c>
      <x:c r="B7" s="63"/>
      <x:c r="C7" s="64"/>
      <x:c r="D7" s="64"/>
      <x:c r="E7" s="5"/>
      <x:c r="F7" s="5"/>
      <x:c r="G7" s="5"/>
      <x:c r="H7" s="5"/>
      <x:c r="I7" s="5"/>
      <x:c r="J7" s="5"/>
      <x:c r="K7" s="5"/>
      <x:c r="L7" s="5"/>
      <x:c r="M7" s="3"/>
      <x:c r="N7" s="78"/>
    </x:row>
    <x:row r="8" ht="21" customHeight="1">
      <x:c r="A8" s="65" t="str">
        <x:v>FY2022–FY2026 actuals</x:v>
      </x:c>
      <x:c r="B8" s="63"/>
      <x:c r="C8" s="64"/>
      <x:c r="D8" s="64"/>
      <x:c r="E8" s="5"/>
      <x:c r="F8" s="5"/>
      <x:c r="G8" s="5"/>
      <x:c r="H8" s="5"/>
      <x:c r="I8" s="5"/>
      <x:c r="J8" s="5"/>
      <x:c r="K8" s="5"/>
      <x:c r="L8" s="5"/>
      <x:c r="M8" s="3"/>
      <x:c r="N8" s="78"/>
    </x:row>
    <x:row r="9" ht="21" customHeight="1">
      <x:c r="A9" s="65" t="str">
        <x:v>FY2027–FY2031 estimates</x:v>
      </x:c>
      <x:c r="B9" s="63"/>
      <x:c r="C9" s="64"/>
      <x:c r="D9" s="64"/>
      <x:c r="E9" s="5"/>
      <x:c r="F9" s="5"/>
      <x:c r="G9" s="5"/>
      <x:c r="H9" s="5"/>
      <x:c r="I9" s="5"/>
      <x:c r="J9" s="5"/>
      <x:c r="K9" s="5"/>
      <x:c r="L9" s="5"/>
      <x:c r="M9" s="3"/>
      <x:c r="N9" s="78"/>
    </x:row>
    <x:row r="10" ht="21" customHeight="1">
      <x:c r="A10" s="63"/>
      <x:c r="B10" s="63"/>
      <x:c r="C10" s="64"/>
      <x:c r="D10" s="64"/>
      <x:c r="E10" s="5"/>
      <x:c r="F10" s="5"/>
      <x:c r="G10" s="5"/>
      <x:c r="H10" s="5"/>
      <x:c r="I10" s="5"/>
      <x:c r="J10" s="5"/>
      <x:c r="K10" s="5"/>
      <x:c r="L10" s="5"/>
      <x:c r="M10" s="3"/>
      <x:c r="N10" s="78"/>
    </x:row>
    <x:row r="11" ht="21" customHeight="1">
      <x:c r="A11" s="63"/>
      <x:c r="B11" s="63"/>
      <x:c r="C11" s="64"/>
      <x:c r="D11" s="64"/>
      <x:c r="E11" s="5"/>
      <x:c r="F11" s="5"/>
      <x:c r="G11" s="5"/>
      <x:c r="H11" s="5"/>
      <x:c r="I11" s="5"/>
      <x:c r="J11" s="5"/>
      <x:c r="K11" s="5"/>
      <x:c r="L11" s="5"/>
      <x:c r="M11" s="3"/>
      <x:c r="N11" s="78"/>
    </x:row>
    <x:row r="12" ht="21" customHeight="1">
      <x:c r="A12" s="65" t="str">
        <x:v>Selected case</x:v>
      </x:c>
      <x:c r="B12" s="63"/>
      <x:c r="C12" s="68" t="str">
        <x:f>'02_Assumptions'!E3</x:f>
        <x:v>Base</x:v>
      </x:c>
      <x:c r="D12" s="64"/>
      <x:c r="E12" s="5"/>
      <x:c r="F12" s="5"/>
      <x:c r="G12" s="5"/>
      <x:c r="H12" s="5"/>
      <x:c r="I12" s="5"/>
      <x:c r="J12" s="5"/>
      <x:c r="K12" s="5"/>
      <x:c r="L12" s="5"/>
      <x:c r="M12" s="3"/>
      <x:c r="N12" s="78"/>
    </x:row>
    <x:row r="13" ht="21" customHeight="1">
      <x:c r="A13" s="65" t="str">
        <x:v>Valuation date</x:v>
      </x:c>
      <x:c r="B13" s="63"/>
      <x:c r="C13" s="69" t="n">
        <x:f>'02_Assumptions'!K17</x:f>
        <x:v>46286</x:v>
      </x:c>
      <x:c r="D13" s="64"/>
      <x:c r="E13" s="5"/>
      <x:c r="F13" s="5"/>
      <x:c r="G13" s="5"/>
      <x:c r="H13" s="5"/>
      <x:c r="I13" s="5"/>
      <x:c r="J13" s="5"/>
      <x:c r="K13" s="5"/>
      <x:c r="L13" s="5"/>
      <x:c r="M13" s="3"/>
      <x:c r="N13" s="78"/>
    </x:row>
    <x:row r="14" ht="21" customHeight="1">
      <x:c r="A14" s="63"/>
      <x:c r="B14" s="63"/>
      <x:c r="C14" s="64"/>
      <x:c r="D14" s="64"/>
      <x:c r="E14" s="5"/>
      <x:c r="F14" s="5"/>
      <x:c r="G14" s="5"/>
      <x:c r="H14" s="5"/>
      <x:c r="I14" s="5"/>
      <x:c r="J14" s="5"/>
      <x:c r="K14" s="5"/>
      <x:c r="L14" s="5"/>
      <x:c r="M14" s="3"/>
      <x:c r="N14" s="78"/>
    </x:row>
    <x:row r="15" ht="21" customHeight="1">
      <x:c r="A15" s="63"/>
      <x:c r="B15" s="63"/>
      <x:c r="C15" s="64"/>
      <x:c r="D15" s="64"/>
      <x:c r="E15" s="5"/>
      <x:c r="F15" s="5"/>
      <x:c r="G15" s="5"/>
      <x:c r="H15" s="5"/>
      <x:c r="I15" s="5"/>
      <x:c r="J15" s="5"/>
      <x:c r="K15" s="5"/>
      <x:c r="L15" s="5"/>
      <x:c r="M15" s="3"/>
      <x:c r="N15" s="78"/>
    </x:row>
    <x:row r="16" ht="21" customHeight="1">
      <x:c r="A16" s="71" t="str">
        <x:v>DCF value per share</x:v>
      </x:c>
      <x:c r="B16" s="72"/>
      <x:c r="C16" s="73" t="n">
        <x:f>'08_DCF'!C35</x:f>
        <x:v>184.415237260502</x:v>
      </x:c>
      <x:c r="D16" s="64"/>
      <x:c r="E16" s="5"/>
      <x:c r="F16" s="5"/>
      <x:c r="G16" s="5"/>
      <x:c r="H16" s="5"/>
      <x:c r="I16" s="5"/>
      <x:c r="J16" s="5"/>
      <x:c r="K16" s="5"/>
      <x:c r="L16" s="5"/>
      <x:c r="M16" s="3"/>
      <x:c r="N16" s="78"/>
    </x:row>
    <x:row r="17" ht="21" customHeight="1">
      <x:c r="A17" s="71" t="str">
        <x:v>Reference price, 21 September 2026</x:v>
      </x:c>
      <x:c r="B17" s="72"/>
      <x:c r="C17" s="73" t="n">
        <x:f>'08_DCF'!C36</x:f>
        <x:v>756.5</x:v>
      </x:c>
      <x:c r="D17" s="64"/>
      <x:c r="E17" s="5"/>
      <x:c r="F17" s="5"/>
      <x:c r="G17" s="5"/>
      <x:c r="H17" s="5"/>
      <x:c r="I17" s="5"/>
      <x:c r="J17" s="5"/>
      <x:c r="K17" s="5"/>
      <x:c r="L17" s="5"/>
      <x:c r="M17" s="3"/>
      <x:c r="N17" s="78"/>
    </x:row>
    <x:row r="18" ht="21" customHeight="1">
      <x:c r="A18" s="71" t="str">
        <x:v>Price-implied terminal EBITDA margin</x:v>
      </x:c>
      <x:c r="B18" s="72"/>
      <x:c r="C18" s="75" t="n">
        <x:f>'09_Reverse_DCF'!C16</x:f>
        <x:v>0.2995517115254547</x:v>
      </x:c>
      <x:c r="D18" s="64"/>
      <x:c r="E18" s="5"/>
      <x:c r="F18" s="5"/>
      <x:c r="G18" s="5"/>
      <x:c r="H18" s="5"/>
      <x:c r="I18" s="5"/>
      <x:c r="J18" s="5"/>
      <x:c r="K18" s="5"/>
      <x:c r="L18" s="5"/>
      <x:c r="M18" s="3"/>
      <x:c r="N18" s="78"/>
    </x:row>
    <x:row r="19" ht="21" customHeight="1">
      <x:c r="A19" s="71" t="str">
        <x:v>FY2029 P/E value (undiscounted)</x:v>
      </x:c>
      <x:c r="B19" s="72"/>
      <x:c r="C19" s="73" t="n">
        <x:f>'08_DCF'!C48</x:f>
        <x:v>687.933454403032</x:v>
      </x:c>
      <x:c r="D19" s="64"/>
      <x:c r="E19" s="5"/>
      <x:c r="F19" s="5"/>
      <x:c r="G19" s="5"/>
      <x:c r="H19" s="5"/>
      <x:c r="I19" s="5"/>
      <x:c r="J19" s="5"/>
      <x:c r="K19" s="5"/>
      <x:c r="L19" s="5"/>
      <x:c r="M19" s="3"/>
      <x:c r="N19" s="78"/>
    </x:row>
    <x:row r="20" ht="21" customHeight="1">
      <x:c r="A20" s="63"/>
      <x:c r="B20" s="63"/>
      <x:c r="C20" s="64"/>
      <x:c r="D20" s="64"/>
      <x:c r="E20" s="5"/>
      <x:c r="F20" s="5"/>
      <x:c r="G20" s="5"/>
      <x:c r="H20" s="5"/>
      <x:c r="I20" s="5"/>
      <x:c r="J20" s="5"/>
      <x:c r="K20" s="5"/>
      <x:c r="L20" s="5"/>
      <x:c r="M20" s="3"/>
      <x:c r="N20" s="78"/>
    </x:row>
    <x:row r="21" ht="21" customHeight="1">
      <x:c r="A21" s="63"/>
      <x:c r="B21" s="63"/>
      <x:c r="C21" s="64"/>
      <x:c r="D21" s="64"/>
      <x:c r="E21" s="5"/>
      <x:c r="F21" s="5"/>
      <x:c r="G21" s="5"/>
      <x:c r="H21" s="5"/>
      <x:c r="I21" s="5"/>
      <x:c r="J21" s="5"/>
      <x:c r="K21" s="5"/>
      <x:c r="L21" s="5"/>
      <x:c r="M21" s="3"/>
      <x:c r="N21" s="78"/>
    </x:row>
    <x:row r="22" ht="24" customHeight="1">
      <x:c r="A22" s="18" t="str">
        <x:v>Workbook guide</x:v>
      </x:c>
      <x:c r="B22" s="18"/>
      <x:c r="C22" s="19"/>
      <x:c r="D22" s="64"/>
      <x:c r="E22" s="5"/>
      <x:c r="F22" s="5"/>
      <x:c r="G22" s="5"/>
      <x:c r="H22" s="5"/>
      <x:c r="I22" s="5"/>
      <x:c r="J22" s="5"/>
      <x:c r="K22" s="5"/>
      <x:c r="L22" s="5"/>
      <x:c r="M22" s="3"/>
      <x:c r="N22" s="78"/>
    </x:row>
    <x:row r="23" ht="21" customHeight="1">
      <x:c r="A23" s="65" t="str">
        <x:v>01 Summary and 02 Assumptions</x:v>
      </x:c>
      <x:c r="B23" s="63"/>
      <x:c r="C23" s="64"/>
      <x:c r="D23" s="64"/>
      <x:c r="E23" s="5"/>
      <x:c r="F23" s="5"/>
      <x:c r="G23" s="5"/>
      <x:c r="H23" s="5"/>
      <x:c r="I23" s="5"/>
      <x:c r="J23" s="5"/>
      <x:c r="K23" s="5"/>
      <x:c r="L23" s="5"/>
      <x:c r="M23" s="3"/>
      <x:c r="N23" s="78"/>
    </x:row>
    <x:row r="24" ht="21" customHeight="1">
      <x:c r="A24" s="65" t="str">
        <x:v>03–05 Linked financial statements</x:v>
      </x:c>
      <x:c r="B24" s="63"/>
      <x:c r="C24" s="64"/>
      <x:c r="D24" s="64"/>
      <x:c r="E24" s="5"/>
      <x:c r="F24" s="5"/>
      <x:c r="G24" s="5"/>
      <x:c r="H24" s="5"/>
      <x:c r="I24" s="5"/>
      <x:c r="J24" s="5"/>
      <x:c r="K24" s="5"/>
      <x:c r="L24" s="5"/>
      <x:c r="M24" s="3"/>
      <x:c r="N24" s="78"/>
    </x:row>
    <x:row r="25" ht="21" customHeight="1">
      <x:c r="A25" s="65" t="str">
        <x:v>06 Schedules and 07 Free cash flow</x:v>
      </x:c>
      <x:c r="B25" s="63"/>
      <x:c r="C25" s="64"/>
      <x:c r="D25" s="64"/>
      <x:c r="E25" s="5"/>
      <x:c r="F25" s="5"/>
      <x:c r="G25" s="5"/>
      <x:c r="H25" s="5"/>
      <x:c r="I25" s="5"/>
      <x:c r="J25" s="5"/>
      <x:c r="K25" s="5"/>
      <x:c r="L25" s="5"/>
      <x:c r="M25" s="3"/>
      <x:c r="N25" s="78"/>
    </x:row>
    <x:row r="26" ht="21" customHeight="1">
      <x:c r="A26" s="65" t="str">
        <x:v>08 DCF and 09 Reverse DCF</x:v>
      </x:c>
      <x:c r="B26" s="63"/>
      <x:c r="C26" s="64"/>
      <x:c r="D26" s="64"/>
      <x:c r="E26" s="5"/>
      <x:c r="F26" s="5"/>
      <x:c r="G26" s="5"/>
      <x:c r="H26" s="5"/>
      <x:c r="I26" s="5"/>
      <x:c r="J26" s="5"/>
      <x:c r="K26" s="5"/>
      <x:c r="L26" s="5"/>
      <x:c r="M26" s="3"/>
      <x:c r="N26" s="78"/>
    </x:row>
    <x:row r="27" ht="21" customHeight="1">
      <x:c r="A27" s="65" t="str">
        <x:v>10 Historical financials and 11 Sources</x:v>
      </x:c>
      <x:c r="B27" s="63"/>
      <x:c r="C27" s="64"/>
      <x:c r="D27" s="64"/>
      <x:c r="E27" s="5"/>
      <x:c r="F27" s="5"/>
      <x:c r="G27" s="5"/>
      <x:c r="H27" s="5"/>
      <x:c r="I27" s="5"/>
      <x:c r="J27" s="5"/>
      <x:c r="K27" s="5"/>
      <x:c r="L27" s="5"/>
      <x:c r="M27" s="3"/>
      <x:c r="N27" s="78"/>
    </x:row>
    <x:row r="28" ht="21" customHeight="1">
      <x:c r="A28" s="63"/>
      <x:c r="B28" s="63"/>
      <x:c r="C28" s="64"/>
      <x:c r="D28" s="64"/>
      <x:c r="E28" s="5"/>
      <x:c r="F28" s="5"/>
      <x:c r="G28" s="5"/>
      <x:c r="H28" s="5"/>
      <x:c r="I28" s="5"/>
      <x:c r="J28" s="5"/>
      <x:c r="K28" s="5"/>
      <x:c r="L28" s="5"/>
      <x:c r="M28" s="3"/>
      <x:c r="N28" s="78"/>
    </x:row>
    <x:row r="29" ht="21" customHeight="1">
      <x:c r="A29" s="63"/>
      <x:c r="B29" s="63"/>
      <x:c r="C29" s="64"/>
      <x:c r="D29" s="64"/>
      <x:c r="E29" s="5"/>
      <x:c r="F29" s="5"/>
      <x:c r="G29" s="5"/>
      <x:c r="H29" s="5"/>
      <x:c r="I29" s="5"/>
      <x:c r="J29" s="5"/>
      <x:c r="K29" s="5"/>
      <x:c r="L29" s="5"/>
      <x:c r="M29" s="3"/>
      <x:c r="N29" s="78"/>
    </x:row>
    <x:row r="30" ht="21" customHeight="1">
      <x:c r="A30" s="65" t="str">
        <x:v>Blue: inputs. Green: worksheet links.</x:v>
      </x:c>
      <x:c r="B30" s="63"/>
      <x:c r="C30" s="64"/>
      <x:c r="D30" s="64"/>
      <x:c r="E30" s="5"/>
      <x:c r="F30" s="5"/>
      <x:c r="G30" s="5"/>
      <x:c r="H30" s="5"/>
      <x:c r="I30" s="5"/>
      <x:c r="J30" s="5"/>
      <x:c r="K30" s="5"/>
      <x:c r="L30" s="5"/>
      <x:c r="M30" s="3"/>
      <x:c r="N30" s="78"/>
    </x:row>
    <x:row r="31" ht="21" customHeight="1">
      <x:c r="A31" s="65" t="str">
        <x:v>Black: calculations. Negatives: parentheses.</x:v>
      </x:c>
      <x:c r="B31" s="63"/>
      <x:c r="C31" s="64"/>
      <x:c r="D31" s="64"/>
      <x:c r="E31" s="5"/>
      <x:c r="F31" s="5"/>
      <x:c r="G31" s="5"/>
      <x:c r="H31" s="5"/>
      <x:c r="I31" s="5"/>
      <x:c r="J31" s="5"/>
      <x:c r="K31" s="5"/>
      <x:c r="L31" s="5"/>
      <x:c r="M31" s="3"/>
      <x:c r="N31" s="78"/>
    </x:row>
    <x:row r="32" ht="21" customHeight="1">
      <x:c r="A32" s="63"/>
      <x:c r="B32" s="63"/>
      <x:c r="C32" s="64"/>
      <x:c r="D32" s="64"/>
      <x:c r="E32" s="5"/>
      <x:c r="F32" s="5"/>
      <x:c r="G32" s="5"/>
      <x:c r="H32" s="5"/>
      <x:c r="I32" s="5"/>
      <x:c r="J32" s="5"/>
      <x:c r="K32" s="5"/>
      <x:c r="L32" s="5"/>
      <x:c r="M32" s="3"/>
      <x:c r="N32" s="78"/>
    </x:row>
    <x:row r="33" ht="21" customHeight="1">
      <x:c r="A33" s="65" t="str">
        <x:v>₹ crore except per-share values and ratios.</x:v>
      </x:c>
      <x:c r="B33" s="63"/>
      <x:c r="C33" s="64"/>
      <x:c r="D33" s="64"/>
      <x:c r="E33" s="5"/>
      <x:c r="F33" s="5"/>
      <x:c r="G33" s="5"/>
      <x:c r="H33" s="5"/>
      <x:c r="I33" s="5"/>
      <x:c r="J33" s="5"/>
      <x:c r="K33" s="5"/>
      <x:c r="L33" s="5"/>
      <x:c r="M33" s="3"/>
      <x:c r="N33" s="78"/>
    </x:row>
    <x:row r="34" ht="21" customHeight="1">
      <x:c r="A34" s="63"/>
      <x:c r="B34" s="63"/>
      <x:c r="C34" s="64"/>
      <x:c r="D34" s="64"/>
      <x:c r="E34" s="5"/>
      <x:c r="F34" s="5"/>
      <x:c r="G34" s="5"/>
      <x:c r="H34" s="5"/>
      <x:c r="I34" s="5"/>
      <x:c r="J34" s="5"/>
      <x:c r="K34" s="5"/>
      <x:c r="L34" s="5"/>
      <x:c r="M34" s="3"/>
      <x:c r="N34" s="78"/>
    </x:row>
    <x:row r="35" ht="21" customHeight="1">
      <x:c r="A35" s="65" t="str">
        <x:v>Forecasts are estimates, not management guidance.</x:v>
      </x:c>
      <x:c r="B35" s="63"/>
      <x:c r="C35" s="64"/>
      <x:c r="D35" s="64"/>
      <x:c r="E35" s="5"/>
      <x:c r="F35" s="5"/>
      <x:c r="G35" s="5"/>
      <x:c r="H35" s="5"/>
      <x:c r="I35" s="5"/>
      <x:c r="J35" s="5"/>
      <x:c r="K35" s="5"/>
      <x:c r="L35" s="5"/>
      <x:c r="M35" s="3"/>
      <x:c r="N35" s="78"/>
    </x:row>
    <x:row r="36" ht="21" customHeight="1">
      <x:c r="A36" s="3"/>
      <x:c r="B36" s="3"/>
      <x:c r="C36" s="5"/>
      <x:c r="D36" s="5"/>
      <x:c r="E36" s="5"/>
      <x:c r="F36" s="5"/>
      <x:c r="G36" s="5"/>
      <x:c r="H36" s="5"/>
      <x:c r="I36" s="5"/>
      <x:c r="J36" s="5"/>
      <x:c r="K36" s="5"/>
      <x:c r="L36" s="5"/>
      <x:c r="M36" s="3"/>
      <x:c r="N36" s="78"/>
    </x:row>
    <x:row r="37" ht="21" customHeight="1">
      <x:c r="A37" s="3"/>
      <x:c r="B37" s="3"/>
      <x:c r="C37" s="5"/>
      <x:c r="D37" s="5"/>
      <x:c r="E37" s="5"/>
      <x:c r="F37" s="5"/>
      <x:c r="G37" s="5"/>
      <x:c r="H37" s="5"/>
      <x:c r="I37" s="5"/>
      <x:c r="J37" s="5"/>
      <x:c r="K37" s="5"/>
      <x:c r="L37" s="5"/>
      <x:c r="M37" s="3"/>
      <x:c r="N37" s="78"/>
    </x:row>
    <x:row r="38" ht="21" customHeight="1">
      <x:c r="A38" s="3"/>
      <x:c r="B38" s="3"/>
      <x:c r="C38" s="5"/>
      <x:c r="D38" s="5"/>
      <x:c r="E38" s="5"/>
      <x:c r="F38" s="5"/>
      <x:c r="G38" s="5"/>
      <x:c r="H38" s="5"/>
      <x:c r="I38" s="5"/>
      <x:c r="J38" s="5"/>
      <x:c r="K38" s="5"/>
      <x:c r="L38" s="5"/>
      <x:c r="M38" s="3"/>
      <x:c r="N38" s="78"/>
    </x:row>
    <x:row r="39" ht="21" customHeight="1">
      <x:c r="A39" s="3"/>
      <x:c r="B39" s="3"/>
      <x:c r="C39" s="5"/>
      <x:c r="D39" s="5"/>
      <x:c r="E39" s="5"/>
      <x:c r="F39" s="5"/>
      <x:c r="G39" s="5"/>
      <x:c r="H39" s="5"/>
      <x:c r="I39" s="5"/>
      <x:c r="J39" s="5"/>
      <x:c r="K39" s="5"/>
      <x:c r="L39" s="5"/>
      <x:c r="M39" s="3"/>
      <x:c r="N39" s="78"/>
    </x:row>
    <x:row r="40" ht="21" customHeight="1">
      <x:c r="A40" s="3"/>
      <x:c r="B40" s="3"/>
      <x:c r="C40" s="5"/>
      <x:c r="D40" s="5"/>
      <x:c r="E40" s="5"/>
      <x:c r="F40" s="5"/>
      <x:c r="G40" s="5"/>
      <x:c r="H40" s="5"/>
      <x:c r="I40" s="5"/>
      <x:c r="J40" s="5"/>
      <x:c r="K40" s="5"/>
      <x:c r="L40" s="5"/>
      <x:c r="M40" s="3"/>
      <x:c r="N40" s="78"/>
    </x:row>
    <x:row r="41" ht="21" customHeight="1">
      <x:c r="A41" s="3"/>
      <x:c r="B41" s="3"/>
      <x:c r="C41" s="5"/>
      <x:c r="D41" s="5"/>
      <x:c r="E41" s="5"/>
      <x:c r="F41" s="5"/>
      <x:c r="G41" s="5"/>
      <x:c r="H41" s="5"/>
      <x:c r="I41" s="5"/>
      <x:c r="J41" s="5"/>
      <x:c r="K41" s="5"/>
      <x:c r="L41" s="5"/>
      <x:c r="M41" s="3"/>
      <x:c r="N41" s="78"/>
    </x:row>
    <x:row r="42" ht="21" customHeight="1">
      <x:c r="A42" s="3"/>
      <x:c r="B42" s="3"/>
      <x:c r="C42" s="5"/>
      <x:c r="D42" s="5"/>
      <x:c r="E42" s="5"/>
      <x:c r="F42" s="5"/>
      <x:c r="G42" s="5"/>
      <x:c r="H42" s="5"/>
      <x:c r="I42" s="5"/>
      <x:c r="J42" s="5"/>
      <x:c r="K42" s="5"/>
      <x:c r="L42" s="5"/>
      <x:c r="M42" s="3"/>
      <x:c r="N42" s="78"/>
    </x:row>
    <x:row r="43" ht="21" customHeight="1">
      <x:c r="A43" s="3"/>
      <x:c r="B43" s="3"/>
      <x:c r="C43" s="5"/>
      <x:c r="D43" s="5"/>
      <x:c r="E43" s="5"/>
      <x:c r="F43" s="5"/>
      <x:c r="G43" s="5"/>
      <x:c r="H43" s="5"/>
      <x:c r="I43" s="5"/>
      <x:c r="J43" s="5"/>
      <x:c r="K43" s="5"/>
      <x:c r="L43" s="5"/>
      <x:c r="M43" s="3"/>
      <x:c r="N43" s="78"/>
    </x:row>
    <x:row r="44" ht="21" customHeight="1">
      <x:c r="A44" s="3"/>
      <x:c r="B44" s="3"/>
      <x:c r="C44" s="5"/>
      <x:c r="D44" s="5"/>
      <x:c r="E44" s="5"/>
      <x:c r="F44" s="5"/>
      <x:c r="G44" s="5"/>
      <x:c r="H44" s="5"/>
      <x:c r="I44" s="5"/>
      <x:c r="J44" s="5"/>
      <x:c r="K44" s="5"/>
      <x:c r="L44" s="5"/>
      <x:c r="M44" s="3"/>
      <x:c r="N44" s="78"/>
    </x:row>
    <x:row r="45" ht="21" customHeight="1">
      <x:c r="A45" s="3"/>
      <x:c r="B45" s="3"/>
      <x:c r="C45" s="5"/>
      <x:c r="D45" s="5"/>
      <x:c r="E45" s="5"/>
      <x:c r="F45" s="5"/>
      <x:c r="G45" s="5"/>
      <x:c r="H45" s="5"/>
      <x:c r="I45" s="5"/>
      <x:c r="J45" s="5"/>
      <x:c r="K45" s="5"/>
      <x:c r="L45" s="5"/>
      <x:c r="M45" s="3"/>
      <x:c r="N45" s="78"/>
    </x:row>
    <x:row r="46" ht="21" customHeight="1">
      <x:c r="A46" s="3"/>
      <x:c r="B46" s="3"/>
      <x:c r="C46" s="5"/>
      <x:c r="D46" s="5"/>
      <x:c r="E46" s="5"/>
      <x:c r="F46" s="5"/>
      <x:c r="G46" s="5"/>
      <x:c r="H46" s="5"/>
      <x:c r="I46" s="5"/>
      <x:c r="J46" s="5"/>
      <x:c r="K46" s="5"/>
      <x:c r="L46" s="5"/>
      <x:c r="M46" s="3"/>
      <x:c r="N46" s="78"/>
    </x:row>
    <x:row r="47" ht="21" customHeight="1">
      <x:c r="A47" s="3"/>
      <x:c r="B47" s="3"/>
      <x:c r="C47" s="5"/>
      <x:c r="D47" s="5"/>
      <x:c r="E47" s="5"/>
      <x:c r="F47" s="5"/>
      <x:c r="G47" s="5"/>
      <x:c r="H47" s="5"/>
      <x:c r="I47" s="5"/>
      <x:c r="J47" s="5"/>
      <x:c r="K47" s="5"/>
      <x:c r="L47" s="5"/>
      <x:c r="M47" s="3"/>
      <x:c r="N47" s="78"/>
    </x:row>
    <x:row r="48" ht="21" customHeight="1">
      <x:c r="A48" s="3"/>
      <x:c r="B48" s="3"/>
      <x:c r="C48" s="5"/>
      <x:c r="D48" s="5"/>
      <x:c r="E48" s="5"/>
      <x:c r="F48" s="5"/>
      <x:c r="G48" s="5"/>
      <x:c r="H48" s="5"/>
      <x:c r="I48" s="5"/>
      <x:c r="J48" s="5"/>
      <x:c r="K48" s="5"/>
      <x:c r="L48" s="5"/>
      <x:c r="M48" s="3"/>
      <x:c r="N48" s="78"/>
    </x:row>
    <x:row r="49" ht="21" customHeight="1">
      <x:c r="A49" s="3"/>
      <x:c r="B49" s="3"/>
      <x:c r="C49" s="5"/>
      <x:c r="D49" s="5"/>
      <x:c r="E49" s="5"/>
      <x:c r="F49" s="5"/>
      <x:c r="G49" s="5"/>
      <x:c r="H49" s="5"/>
      <x:c r="I49" s="5"/>
      <x:c r="J49" s="5"/>
      <x:c r="K49" s="5"/>
      <x:c r="L49" s="5"/>
      <x:c r="M49" s="3"/>
      <x:c r="N49" s="78"/>
    </x:row>
    <x:row r="50" ht="21" customHeight="1">
      <x:c r="A50" s="3"/>
      <x:c r="B50" s="3"/>
      <x:c r="C50" s="5"/>
      <x:c r="D50" s="5"/>
      <x:c r="E50" s="5"/>
      <x:c r="F50" s="5"/>
      <x:c r="G50" s="5"/>
      <x:c r="H50" s="5"/>
      <x:c r="I50" s="5"/>
      <x:c r="J50" s="5"/>
      <x:c r="K50" s="5"/>
      <x:c r="L50" s="5"/>
      <x:c r="M50" s="3"/>
      <x:c r="N50" s="78"/>
    </x:row>
    <x:row r="51" ht="21" customHeight="1">
      <x:c r="A51" s="3"/>
      <x:c r="B51" s="3"/>
      <x:c r="C51" s="5"/>
      <x:c r="D51" s="5"/>
      <x:c r="E51" s="5"/>
      <x:c r="F51" s="5"/>
      <x:c r="G51" s="5"/>
      <x:c r="H51" s="5"/>
      <x:c r="I51" s="5"/>
      <x:c r="J51" s="5"/>
      <x:c r="K51" s="5"/>
      <x:c r="L51" s="5"/>
      <x:c r="M51" s="3"/>
      <x:c r="N51" s="78"/>
    </x:row>
    <x:row r="52" ht="21" customHeight="1">
      <x:c r="A52" s="3"/>
      <x:c r="B52" s="3"/>
      <x:c r="C52" s="5"/>
      <x:c r="D52" s="5"/>
      <x:c r="E52" s="5"/>
      <x:c r="F52" s="5"/>
      <x:c r="G52" s="5"/>
      <x:c r="H52" s="5"/>
      <x:c r="I52" s="5"/>
      <x:c r="J52" s="5"/>
      <x:c r="K52" s="5"/>
      <x:c r="L52" s="5"/>
      <x:c r="M52" s="3"/>
      <x:c r="N52" s="78"/>
    </x:row>
    <x:row r="53" ht="21" customHeight="1">
      <x:c r="A53" s="3"/>
      <x:c r="B53" s="3"/>
      <x:c r="C53" s="5"/>
      <x:c r="D53" s="5"/>
      <x:c r="E53" s="5"/>
      <x:c r="F53" s="5"/>
      <x:c r="G53" s="5"/>
      <x:c r="H53" s="5"/>
      <x:c r="I53" s="5"/>
      <x:c r="J53" s="5"/>
      <x:c r="K53" s="5"/>
      <x:c r="L53" s="5"/>
      <x:c r="M53" s="3"/>
      <x:c r="N53" s="78"/>
    </x:row>
    <x:row r="54" ht="21" customHeight="1">
      <x:c r="A54" s="3"/>
      <x:c r="B54" s="3"/>
      <x:c r="C54" s="5"/>
      <x:c r="D54" s="5"/>
      <x:c r="E54" s="5"/>
      <x:c r="F54" s="5"/>
      <x:c r="G54" s="5"/>
      <x:c r="H54" s="5"/>
      <x:c r="I54" s="5"/>
      <x:c r="J54" s="5"/>
      <x:c r="K54" s="5"/>
      <x:c r="L54" s="5"/>
      <x:c r="M54" s="3"/>
      <x:c r="N54" s="78"/>
    </x:row>
    <x:row r="55" ht="21" customHeight="1">
      <x:c r="A55" s="3"/>
      <x:c r="B55" s="3"/>
      <x:c r="C55" s="5"/>
      <x:c r="D55" s="5"/>
      <x:c r="E55" s="5"/>
      <x:c r="F55" s="5"/>
      <x:c r="G55" s="5"/>
      <x:c r="H55" s="5"/>
      <x:c r="I55" s="5"/>
      <x:c r="J55" s="5"/>
      <x:c r="K55" s="5"/>
      <x:c r="L55" s="5"/>
      <x:c r="M55" s="3"/>
      <x:c r="N55" s="78"/>
    </x:row>
    <x:row r="56" ht="21" customHeight="1">
      <x:c r="A56" s="3"/>
      <x:c r="B56" s="3"/>
      <x:c r="C56" s="5"/>
      <x:c r="D56" s="5"/>
      <x:c r="E56" s="5"/>
      <x:c r="F56" s="5"/>
      <x:c r="G56" s="5"/>
      <x:c r="H56" s="5"/>
      <x:c r="I56" s="5"/>
      <x:c r="J56" s="5"/>
      <x:c r="K56" s="5"/>
      <x:c r="L56" s="5"/>
      <x:c r="M56" s="3"/>
      <x:c r="N56" s="78"/>
    </x:row>
    <x:row r="57" ht="21" customHeight="1">
      <x:c r="A57" s="3"/>
      <x:c r="B57" s="3"/>
      <x:c r="C57" s="5"/>
      <x:c r="D57" s="5"/>
      <x:c r="E57" s="5"/>
      <x:c r="F57" s="5"/>
      <x:c r="G57" s="5"/>
      <x:c r="H57" s="5"/>
      <x:c r="I57" s="5"/>
      <x:c r="J57" s="5"/>
      <x:c r="K57" s="5"/>
      <x:c r="L57" s="5"/>
      <x:c r="M57" s="3"/>
      <x:c r="N57" s="78"/>
    </x:row>
    <x:row r="58" ht="21" customHeight="1">
      <x:c r="A58" s="3"/>
      <x:c r="B58" s="3"/>
      <x:c r="C58" s="5"/>
      <x:c r="D58" s="5"/>
      <x:c r="E58" s="5"/>
      <x:c r="F58" s="5"/>
      <x:c r="G58" s="5"/>
      <x:c r="H58" s="5"/>
      <x:c r="I58" s="5"/>
      <x:c r="J58" s="5"/>
      <x:c r="K58" s="5"/>
      <x:c r="L58" s="5"/>
      <x:c r="M58" s="3"/>
      <x:c r="N58" s="78"/>
    </x:row>
    <x:row r="59" ht="21" customHeight="1">
      <x:c r="A59" s="3"/>
      <x:c r="B59" s="3"/>
      <x:c r="C59" s="5"/>
      <x:c r="D59" s="5"/>
      <x:c r="E59" s="5"/>
      <x:c r="F59" s="5"/>
      <x:c r="G59" s="5"/>
      <x:c r="H59" s="5"/>
      <x:c r="I59" s="5"/>
      <x:c r="J59" s="5"/>
      <x:c r="K59" s="5"/>
      <x:c r="L59" s="5"/>
      <x:c r="M59" s="3"/>
      <x:c r="N59" s="78"/>
    </x:row>
    <x:row r="60" ht="21" customHeight="1">
      <x:c r="A60" s="3"/>
      <x:c r="B60" s="3"/>
      <x:c r="C60" s="5"/>
      <x:c r="D60" s="5"/>
      <x:c r="E60" s="5"/>
      <x:c r="F60" s="5"/>
      <x:c r="G60" s="5"/>
      <x:c r="H60" s="5"/>
      <x:c r="I60" s="5"/>
      <x:c r="J60" s="5"/>
      <x:c r="K60" s="5"/>
      <x:c r="L60" s="5"/>
      <x:c r="M60" s="3"/>
      <x:c r="N60" s="78"/>
    </x:row>
    <x:row r="61" ht="21" customHeight="1">
      <x:c r="A61" s="3"/>
      <x:c r="B61" s="3"/>
      <x:c r="C61" s="5"/>
      <x:c r="D61" s="5"/>
      <x:c r="E61" s="5"/>
      <x:c r="F61" s="5"/>
      <x:c r="G61" s="5"/>
      <x:c r="H61" s="5"/>
      <x:c r="I61" s="5"/>
      <x:c r="J61" s="5"/>
      <x:c r="K61" s="5"/>
      <x:c r="L61" s="5"/>
      <x:c r="M61" s="3"/>
      <x:c r="N61" s="78"/>
    </x:row>
    <x:row r="62" ht="21" customHeight="1">
      <x:c r="A62" s="3"/>
      <x:c r="B62" s="3"/>
      <x:c r="C62" s="5"/>
      <x:c r="D62" s="5"/>
      <x:c r="E62" s="5"/>
      <x:c r="F62" s="5"/>
      <x:c r="G62" s="5"/>
      <x:c r="H62" s="5"/>
      <x:c r="I62" s="5"/>
      <x:c r="J62" s="5"/>
      <x:c r="K62" s="5"/>
      <x:c r="L62" s="5"/>
      <x:c r="M62" s="3"/>
      <x:c r="N62" s="78"/>
    </x:row>
    <x:row r="63" ht="21" customHeight="1">
      <x:c r="A63" s="3"/>
      <x:c r="B63" s="3"/>
      <x:c r="C63" s="5"/>
      <x:c r="D63" s="5"/>
      <x:c r="E63" s="5"/>
      <x:c r="F63" s="5"/>
      <x:c r="G63" s="5"/>
      <x:c r="H63" s="5"/>
      <x:c r="I63" s="5"/>
      <x:c r="J63" s="5"/>
      <x:c r="K63" s="5"/>
      <x:c r="L63" s="5"/>
      <x:c r="M63" s="3"/>
      <x:c r="N63" s="78"/>
    </x:row>
    <x:row r="64" ht="21" customHeight="1">
      <x:c r="A64" s="3"/>
      <x:c r="B64" s="3"/>
      <x:c r="C64" s="5"/>
      <x:c r="D64" s="5"/>
      <x:c r="E64" s="5"/>
      <x:c r="F64" s="5"/>
      <x:c r="G64" s="5"/>
      <x:c r="H64" s="5"/>
      <x:c r="I64" s="5"/>
      <x:c r="J64" s="5"/>
      <x:c r="K64" s="5"/>
      <x:c r="L64" s="5"/>
      <x:c r="M64" s="3"/>
      <x:c r="N64" s="78"/>
    </x:row>
    <x:row r="65" ht="21" customHeight="1">
      <x:c r="A65" s="3"/>
      <x:c r="B65" s="3"/>
      <x:c r="C65" s="5"/>
      <x:c r="D65" s="5"/>
      <x:c r="E65" s="5"/>
      <x:c r="F65" s="5"/>
      <x:c r="G65" s="5"/>
      <x:c r="H65" s="5"/>
      <x:c r="I65" s="5"/>
      <x:c r="J65" s="5"/>
      <x:c r="K65" s="5"/>
      <x:c r="L65" s="5"/>
      <x:c r="M65" s="3"/>
      <x:c r="N65" s="78"/>
    </x:row>
    <x:row r="66" ht="21" customHeight="1">
      <x:c r="A66" s="3"/>
      <x:c r="B66" s="3"/>
      <x:c r="C66" s="5"/>
      <x:c r="D66" s="5"/>
      <x:c r="E66" s="5"/>
      <x:c r="F66" s="5"/>
      <x:c r="G66" s="5"/>
      <x:c r="H66" s="5"/>
      <x:c r="I66" s="5"/>
      <x:c r="J66" s="5"/>
      <x:c r="K66" s="5"/>
      <x:c r="L66" s="5"/>
      <x:c r="M66" s="3"/>
      <x:c r="N66" s="78"/>
    </x:row>
    <x:row r="67" ht="21" customHeight="1">
      <x:c r="A67" s="3"/>
      <x:c r="B67" s="3"/>
      <x:c r="C67" s="5"/>
      <x:c r="D67" s="5"/>
      <x:c r="E67" s="5"/>
      <x:c r="F67" s="5"/>
      <x:c r="G67" s="5"/>
      <x:c r="H67" s="5"/>
      <x:c r="I67" s="5"/>
      <x:c r="J67" s="5"/>
      <x:c r="K67" s="5"/>
      <x:c r="L67" s="5"/>
      <x:c r="M67" s="3"/>
      <x:c r="N67" s="78"/>
    </x:row>
    <x:row r="68" ht="21" customHeight="1">
      <x:c r="A68" s="3"/>
      <x:c r="B68" s="3"/>
      <x:c r="C68" s="5"/>
      <x:c r="D68" s="5"/>
      <x:c r="E68" s="5"/>
      <x:c r="F68" s="5"/>
      <x:c r="G68" s="5"/>
      <x:c r="H68" s="5"/>
      <x:c r="I68" s="5"/>
      <x:c r="J68" s="5"/>
      <x:c r="K68" s="5"/>
      <x:c r="L68" s="5"/>
      <x:c r="M68" s="3"/>
      <x:c r="N68" s="78"/>
    </x:row>
    <x:row r="69" ht="21" customHeight="1">
      <x:c r="A69" s="3"/>
      <x:c r="B69" s="3"/>
      <x:c r="C69" s="5"/>
      <x:c r="D69" s="5"/>
      <x:c r="E69" s="5"/>
      <x:c r="F69" s="5"/>
      <x:c r="G69" s="5"/>
      <x:c r="H69" s="5"/>
      <x:c r="I69" s="5"/>
      <x:c r="J69" s="5"/>
      <x:c r="K69" s="5"/>
      <x:c r="L69" s="5"/>
      <x:c r="M69" s="3"/>
      <x:c r="N69" s="78"/>
    </x:row>
    <x:row r="70" ht="21" customHeight="1">
      <x:c r="A70" s="3"/>
      <x:c r="B70" s="3"/>
      <x:c r="C70" s="5"/>
      <x:c r="D70" s="5"/>
      <x:c r="E70" s="5"/>
      <x:c r="F70" s="5"/>
      <x:c r="G70" s="5"/>
      <x:c r="H70" s="5"/>
      <x:c r="I70" s="5"/>
      <x:c r="J70" s="5"/>
      <x:c r="K70" s="5"/>
      <x:c r="L70" s="5"/>
      <x:c r="M70" s="3"/>
      <x:c r="N70" s="78"/>
    </x:row>
    <x:row r="71" ht="21" customHeight="1">
      <x:c r="A71" s="3"/>
      <x:c r="B71" s="3"/>
      <x:c r="C71" s="5"/>
      <x:c r="D71" s="5"/>
      <x:c r="E71" s="5"/>
      <x:c r="F71" s="5"/>
      <x:c r="G71" s="5"/>
      <x:c r="H71" s="5"/>
      <x:c r="I71" s="5"/>
      <x:c r="J71" s="5"/>
      <x:c r="K71" s="5"/>
      <x:c r="L71" s="5"/>
      <x:c r="M71" s="3"/>
      <x:c r="N71" s="78"/>
    </x:row>
    <x:row r="72" ht="21" customHeight="1">
      <x:c r="A72" s="3"/>
      <x:c r="B72" s="3"/>
      <x:c r="C72" s="5"/>
      <x:c r="D72" s="5"/>
      <x:c r="E72" s="5"/>
      <x:c r="F72" s="5"/>
      <x:c r="G72" s="5"/>
      <x:c r="H72" s="5"/>
      <x:c r="I72" s="5"/>
      <x:c r="J72" s="5"/>
      <x:c r="K72" s="5"/>
      <x:c r="L72" s="5"/>
      <x:c r="M72" s="3"/>
      <x:c r="N72" s="78"/>
    </x:row>
    <x:row r="73" ht="21" customHeight="1">
      <x:c r="A73" s="3"/>
      <x:c r="B73" s="3"/>
      <x:c r="C73" s="5"/>
      <x:c r="D73" s="5"/>
      <x:c r="E73" s="5"/>
      <x:c r="F73" s="5"/>
      <x:c r="G73" s="5"/>
      <x:c r="H73" s="5"/>
      <x:c r="I73" s="5"/>
      <x:c r="J73" s="5"/>
      <x:c r="K73" s="5"/>
      <x:c r="L73" s="5"/>
      <x:c r="M73" s="3"/>
      <x:c r="N73" s="78"/>
    </x:row>
    <x:row r="74" ht="21" customHeight="1">
      <x:c r="A74" s="3"/>
      <x:c r="B74" s="3"/>
      <x:c r="C74" s="5"/>
      <x:c r="D74" s="5"/>
      <x:c r="E74" s="5"/>
      <x:c r="F74" s="5"/>
      <x:c r="G74" s="5"/>
      <x:c r="H74" s="5"/>
      <x:c r="I74" s="5"/>
      <x:c r="J74" s="5"/>
      <x:c r="K74" s="5"/>
      <x:c r="L74" s="5"/>
      <x:c r="M74" s="3"/>
      <x:c r="N74" s="78"/>
    </x:row>
    <x:row r="75" ht="21" customHeight="1">
      <x:c r="A75" s="3"/>
      <x:c r="B75" s="3"/>
      <x:c r="C75" s="5"/>
      <x:c r="D75" s="5"/>
      <x:c r="E75" s="5"/>
      <x:c r="F75" s="5"/>
      <x:c r="G75" s="5"/>
      <x:c r="H75" s="5"/>
      <x:c r="I75" s="5"/>
      <x:c r="J75" s="5"/>
      <x:c r="K75" s="5"/>
      <x:c r="L75" s="5"/>
      <x:c r="M75" s="3"/>
      <x:c r="N75" s="78"/>
    </x:row>
    <x:row r="76" ht="21" customHeight="1">
      <x:c r="A76" s="3"/>
      <x:c r="B76" s="3"/>
      <x:c r="C76" s="5"/>
      <x:c r="D76" s="5"/>
      <x:c r="E76" s="5"/>
      <x:c r="F76" s="5"/>
      <x:c r="G76" s="5"/>
      <x:c r="H76" s="5"/>
      <x:c r="I76" s="5"/>
      <x:c r="J76" s="5"/>
      <x:c r="K76" s="5"/>
      <x:c r="L76" s="5"/>
      <x:c r="M76" s="3"/>
      <x:c r="N76" s="78"/>
    </x:row>
    <x:row r="77" ht="21" customHeight="1">
      <x:c r="A77" s="3"/>
      <x:c r="B77" s="3"/>
      <x:c r="C77" s="5"/>
      <x:c r="D77" s="5"/>
      <x:c r="E77" s="5"/>
      <x:c r="F77" s="5"/>
      <x:c r="G77" s="5"/>
      <x:c r="H77" s="5"/>
      <x:c r="I77" s="5"/>
      <x:c r="J77" s="5"/>
      <x:c r="K77" s="5"/>
      <x:c r="L77" s="5"/>
      <x:c r="M77" s="3"/>
      <x:c r="N77" s="78"/>
    </x:row>
    <x:row r="78" ht="21" customHeight="1">
      <x:c r="A78" s="3"/>
      <x:c r="B78" s="3"/>
      <x:c r="C78" s="5"/>
      <x:c r="D78" s="5"/>
      <x:c r="E78" s="5"/>
      <x:c r="F78" s="5"/>
      <x:c r="G78" s="5"/>
      <x:c r="H78" s="5"/>
      <x:c r="I78" s="5"/>
      <x:c r="J78" s="5"/>
      <x:c r="K78" s="5"/>
      <x:c r="L78" s="5"/>
      <x:c r="M78" s="3"/>
      <x:c r="N78" s="78"/>
    </x:row>
    <x:row r="79" ht="21" customHeight="1">
      <x:c r="A79" s="3"/>
      <x:c r="B79" s="3"/>
      <x:c r="C79" s="5"/>
      <x:c r="D79" s="5"/>
      <x:c r="E79" s="5"/>
      <x:c r="F79" s="5"/>
      <x:c r="G79" s="5"/>
      <x:c r="H79" s="5"/>
      <x:c r="I79" s="5"/>
      <x:c r="J79" s="5"/>
      <x:c r="K79" s="5"/>
      <x:c r="L79" s="5"/>
      <x:c r="M79" s="3"/>
      <x:c r="N79" s="78"/>
    </x:row>
    <x:row r="80" ht="21" customHeight="1">
      <x:c r="A80" s="3"/>
      <x:c r="B80" s="3"/>
      <x:c r="C80" s="5"/>
      <x:c r="D80" s="5"/>
      <x:c r="E80" s="5"/>
      <x:c r="F80" s="5"/>
      <x:c r="G80" s="5"/>
      <x:c r="H80" s="5"/>
      <x:c r="I80" s="5"/>
      <x:c r="J80" s="5"/>
      <x:c r="K80" s="5"/>
      <x:c r="L80" s="5"/>
      <x:c r="M80" s="3"/>
      <x:c r="N80" s="78"/>
    </x:row>
    <x:row r="81" ht="21" customHeight="1">
      <x:c r="A81" s="3"/>
      <x:c r="B81" s="3"/>
      <x:c r="C81" s="5"/>
      <x:c r="D81" s="5"/>
      <x:c r="E81" s="5"/>
      <x:c r="F81" s="5"/>
      <x:c r="G81" s="5"/>
      <x:c r="H81" s="5"/>
      <x:c r="I81" s="5"/>
      <x:c r="J81" s="5"/>
      <x:c r="K81" s="5"/>
      <x:c r="L81" s="5"/>
      <x:c r="M81" s="3"/>
      <x:c r="N81" s="78"/>
    </x:row>
    <x:row r="82" ht="21" customHeight="1">
      <x:c r="A82" s="3"/>
      <x:c r="B82" s="3"/>
      <x:c r="C82" s="5"/>
      <x:c r="D82" s="5"/>
      <x:c r="E82" s="5"/>
      <x:c r="F82" s="5"/>
      <x:c r="G82" s="5"/>
      <x:c r="H82" s="5"/>
      <x:c r="I82" s="5"/>
      <x:c r="J82" s="5"/>
      <x:c r="K82" s="5"/>
      <x:c r="L82" s="5"/>
      <x:c r="M82" s="3"/>
      <x:c r="N82" s="78"/>
    </x:row>
    <x:row r="83" ht="21" customHeight="1">
      <x:c r="A83" s="3"/>
      <x:c r="B83" s="3"/>
      <x:c r="C83" s="5"/>
      <x:c r="D83" s="5"/>
      <x:c r="E83" s="5"/>
      <x:c r="F83" s="5"/>
      <x:c r="G83" s="5"/>
      <x:c r="H83" s="5"/>
      <x:c r="I83" s="5"/>
      <x:c r="J83" s="5"/>
      <x:c r="K83" s="5"/>
      <x:c r="L83" s="5"/>
      <x:c r="M83" s="3"/>
      <x:c r="N83" s="78"/>
    </x:row>
    <x:row r="84" ht="21" customHeight="1">
      <x:c r="A84" s="3"/>
      <x:c r="B84" s="3"/>
      <x:c r="C84" s="5"/>
      <x:c r="D84" s="5"/>
      <x:c r="E84" s="5"/>
      <x:c r="F84" s="5"/>
      <x:c r="G84" s="5"/>
      <x:c r="H84" s="5"/>
      <x:c r="I84" s="5"/>
      <x:c r="J84" s="5"/>
      <x:c r="K84" s="5"/>
      <x:c r="L84" s="5"/>
      <x:c r="M84" s="3"/>
      <x:c r="N84" s="78"/>
    </x:row>
    <x:row r="85" ht="21" customHeight="1">
      <x:c r="A85" s="3"/>
      <x:c r="B85" s="3"/>
      <x:c r="C85" s="5"/>
      <x:c r="D85" s="5"/>
      <x:c r="E85" s="5"/>
      <x:c r="F85" s="5"/>
      <x:c r="G85" s="5"/>
      <x:c r="H85" s="5"/>
      <x:c r="I85" s="5"/>
      <x:c r="J85" s="5"/>
      <x:c r="K85" s="5"/>
      <x:c r="L85" s="5"/>
      <x:c r="M85" s="3"/>
      <x:c r="N85" s="78"/>
    </x:row>
    <x:row r="86" ht="21" customHeight="1">
      <x:c r="A86" s="3"/>
      <x:c r="B86" s="3"/>
      <x:c r="C86" s="5"/>
      <x:c r="D86" s="5"/>
      <x:c r="E86" s="5"/>
      <x:c r="F86" s="5"/>
      <x:c r="G86" s="5"/>
      <x:c r="H86" s="5"/>
      <x:c r="I86" s="5"/>
      <x:c r="J86" s="5"/>
      <x:c r="K86" s="5"/>
      <x:c r="L86" s="5"/>
      <x:c r="M86" s="3"/>
      <x:c r="N86" s="78"/>
    </x:row>
    <x:row r="87" ht="21" customHeight="1">
      <x:c r="A87" s="3"/>
      <x:c r="B87" s="3"/>
      <x:c r="C87" s="5"/>
      <x:c r="D87" s="5"/>
      <x:c r="E87" s="5"/>
      <x:c r="F87" s="5"/>
      <x:c r="G87" s="5"/>
      <x:c r="H87" s="5"/>
      <x:c r="I87" s="5"/>
      <x:c r="J87" s="5"/>
      <x:c r="K87" s="5"/>
      <x:c r="L87" s="5"/>
      <x:c r="M87" s="3"/>
      <x:c r="N87" s="78"/>
    </x:row>
    <x:row r="88" ht="21" customHeight="1">
      <x:c r="A88" s="3"/>
      <x:c r="B88" s="3"/>
      <x:c r="C88" s="5"/>
      <x:c r="D88" s="5"/>
      <x:c r="E88" s="5"/>
      <x:c r="F88" s="5"/>
      <x:c r="G88" s="5"/>
      <x:c r="H88" s="5"/>
      <x:c r="I88" s="5"/>
      <x:c r="J88" s="5"/>
      <x:c r="K88" s="5"/>
      <x:c r="L88" s="5"/>
      <x:c r="M88" s="3"/>
      <x:c r="N88" s="78"/>
    </x:row>
    <x:row r="89" ht="21" customHeight="1">
      <x:c r="A89" s="3"/>
      <x:c r="B89" s="3"/>
      <x:c r="C89" s="5"/>
      <x:c r="D89" s="5"/>
      <x:c r="E89" s="5"/>
      <x:c r="F89" s="5"/>
      <x:c r="G89" s="5"/>
      <x:c r="H89" s="5"/>
      <x:c r="I89" s="5"/>
      <x:c r="J89" s="5"/>
      <x:c r="K89" s="5"/>
      <x:c r="L89" s="5"/>
      <x:c r="M89" s="3"/>
      <x:c r="N89" s="78"/>
    </x:row>
    <x:row r="90" ht="21" customHeight="1">
      <x:c r="A90" s="3"/>
      <x:c r="B90" s="3"/>
      <x:c r="C90" s="5"/>
      <x:c r="D90" s="5"/>
      <x:c r="E90" s="5"/>
      <x:c r="F90" s="5"/>
      <x:c r="G90" s="5"/>
      <x:c r="H90" s="5"/>
      <x:c r="I90" s="5"/>
      <x:c r="J90" s="5"/>
      <x:c r="K90" s="5"/>
      <x:c r="L90" s="5"/>
      <x:c r="M90" s="3"/>
      <x:c r="N90" s="78"/>
    </x:row>
    <x:row r="91" ht="21" customHeight="1">
      <x:c r="A91" s="3"/>
      <x:c r="B91" s="3"/>
      <x:c r="C91" s="5"/>
      <x:c r="D91" s="5"/>
      <x:c r="E91" s="5"/>
      <x:c r="F91" s="5"/>
      <x:c r="G91" s="5"/>
      <x:c r="H91" s="5"/>
      <x:c r="I91" s="5"/>
      <x:c r="J91" s="5"/>
      <x:c r="K91" s="5"/>
      <x:c r="L91" s="5"/>
      <x:c r="M91" s="3"/>
      <x:c r="N91" s="78"/>
    </x:row>
    <x:row r="92" ht="21" customHeight="1">
      <x:c r="A92" s="3"/>
      <x:c r="B92" s="3"/>
      <x:c r="C92" s="5"/>
      <x:c r="D92" s="5"/>
      <x:c r="E92" s="5"/>
      <x:c r="F92" s="5"/>
      <x:c r="G92" s="5"/>
      <x:c r="H92" s="5"/>
      <x:c r="I92" s="5"/>
      <x:c r="J92" s="5"/>
      <x:c r="K92" s="5"/>
      <x:c r="L92" s="5"/>
      <x:c r="M92" s="3"/>
      <x:c r="N92" s="78"/>
    </x:row>
    <x:row r="93" ht="21" customHeight="1">
      <x:c r="A93" s="3"/>
      <x:c r="B93" s="3"/>
      <x:c r="C93" s="5"/>
      <x:c r="D93" s="5"/>
      <x:c r="E93" s="5"/>
      <x:c r="F93" s="5"/>
      <x:c r="G93" s="5"/>
      <x:c r="H93" s="5"/>
      <x:c r="I93" s="5"/>
      <x:c r="J93" s="5"/>
      <x:c r="K93" s="5"/>
      <x:c r="L93" s="5"/>
      <x:c r="M93" s="3"/>
      <x:c r="N93" s="78"/>
    </x:row>
    <x:row r="94" ht="21" customHeight="1">
      <x:c r="A94" s="3"/>
      <x:c r="B94" s="3"/>
      <x:c r="C94" s="5"/>
      <x:c r="D94" s="5"/>
      <x:c r="E94" s="5"/>
      <x:c r="F94" s="5"/>
      <x:c r="G94" s="5"/>
      <x:c r="H94" s="5"/>
      <x:c r="I94" s="5"/>
      <x:c r="J94" s="5"/>
      <x:c r="K94" s="5"/>
      <x:c r="L94" s="5"/>
      <x:c r="M94" s="3"/>
      <x:c r="N94" s="78"/>
    </x:row>
    <x:row r="95" ht="21" customHeight="1">
      <x:c r="A95" s="3"/>
      <x:c r="B95" s="3"/>
      <x:c r="C95" s="5"/>
      <x:c r="D95" s="5"/>
      <x:c r="E95" s="5"/>
      <x:c r="F95" s="5"/>
      <x:c r="G95" s="5"/>
      <x:c r="H95" s="5"/>
      <x:c r="I95" s="5"/>
      <x:c r="J95" s="5"/>
      <x:c r="K95" s="5"/>
      <x:c r="L95" s="5"/>
      <x:c r="M95" s="3"/>
      <x:c r="N95" s="78"/>
    </x:row>
    <x:row r="96" ht="21" customHeight="1">
      <x:c r="A96" s="3"/>
      <x:c r="B96" s="3"/>
      <x:c r="C96" s="5"/>
      <x:c r="D96" s="5"/>
      <x:c r="E96" s="5"/>
      <x:c r="F96" s="5"/>
      <x:c r="G96" s="5"/>
      <x:c r="H96" s="5"/>
      <x:c r="I96" s="5"/>
      <x:c r="J96" s="5"/>
      <x:c r="K96" s="5"/>
      <x:c r="L96" s="5"/>
      <x:c r="M96" s="3"/>
      <x:c r="N96" s="78"/>
    </x:row>
    <x:row r="97" ht="21" customHeight="1">
      <x:c r="A97" s="3"/>
      <x:c r="B97" s="3"/>
      <x:c r="C97" s="5"/>
      <x:c r="D97" s="5"/>
      <x:c r="E97" s="5"/>
      <x:c r="F97" s="5"/>
      <x:c r="G97" s="5"/>
      <x:c r="H97" s="5"/>
      <x:c r="I97" s="5"/>
      <x:c r="J97" s="5"/>
      <x:c r="K97" s="5"/>
      <x:c r="L97" s="5"/>
      <x:c r="M97" s="3"/>
      <x:c r="N97" s="78"/>
    </x:row>
    <x:row r="98" ht="21" customHeight="1">
      <x:c r="A98" s="3"/>
      <x:c r="B98" s="3"/>
      <x:c r="C98" s="5"/>
      <x:c r="D98" s="5"/>
      <x:c r="E98" s="5"/>
      <x:c r="F98" s="5"/>
      <x:c r="G98" s="5"/>
      <x:c r="H98" s="5"/>
      <x:c r="I98" s="5"/>
      <x:c r="J98" s="5"/>
      <x:c r="K98" s="5"/>
      <x:c r="L98" s="5"/>
      <x:c r="M98" s="3"/>
      <x:c r="N98" s="78"/>
    </x:row>
    <x:row r="99" ht="21" customHeight="1">
      <x:c r="A99" s="3"/>
      <x:c r="B99" s="3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3"/>
      <x:c r="N99" s="78"/>
    </x:row>
    <x:row r="100" ht="21" customHeight="1">
      <x:c r="A100" s="3"/>
      <x:c r="B100" s="3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3"/>
      <x:c r="N100" s="7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4" hidden="0" customWidth="1"/>
    <x:col min="2" max="2" width="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3" hidden="0" customWidth="1"/>
    <x:col min="14" max="14" width="58" hidden="0" customWidth="1"/>
  </x:cols>
  <x:sheetData>
    <x:row r="1" ht="21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78"/>
    </x:row>
    <x:row r="2" ht="21" customHeight="1">
      <x:c r="A2" s="8" t="str">
        <x:v>Financial Summary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78"/>
    </x:row>
    <x:row r="3" ht="21" customHeight="1">
      <x:c r="A3" s="6" t="str">
        <x:v>Consolidated. ₹ crore except per-share values.</x:v>
      </x:c>
      <x:c r="B3" s="3"/>
      <x:c r="C3" s="3"/>
      <x:c r="D3" s="3"/>
      <x:c r="E3" s="3"/>
      <x:c r="F3" s="3"/>
      <x:c r="G3" s="3"/>
      <x:c r="H3" s="6" t="str">
        <x:v>Selected case</x:v>
      </x:c>
      <x:c r="I3" s="3"/>
      <x:c r="J3" s="14" t="str">
        <x:f>'02_Assumptions'!E3</x:f>
        <x:v>Base</x:v>
      </x:c>
      <x:c r="K3" s="3"/>
      <x:c r="L3" s="3"/>
      <x:c r="M3" s="3"/>
      <x:c r="N3" s="78"/>
    </x:row>
    <x:row r="4" ht="21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78"/>
    </x:row>
    <x:row r="5" ht="24" customHeight="1">
      <x:c r="A5" s="12" t="str">
        <x:v>Line item</x:v>
      </x:c>
      <x:c r="B5" s="12"/>
      <x:c r="C5" s="12" t="str">
        <x:v>FY2022A</x:v>
      </x:c>
      <x:c r="D5" s="12" t="str">
        <x:v>FY2023A</x:v>
      </x:c>
      <x:c r="E5" s="12" t="str">
        <x:v>FY2024A</x:v>
      </x:c>
      <x:c r="F5" s="12" t="str">
        <x:v>FY2025A</x:v>
      </x:c>
      <x:c r="G5" s="12" t="str">
        <x:v>FY2026A</x:v>
      </x:c>
      <x:c r="H5" s="12" t="str">
        <x:v>FY2027E</x:v>
      </x:c>
      <x:c r="I5" s="12" t="str">
        <x:v>FY2028E</x:v>
      </x:c>
      <x:c r="J5" s="12" t="str">
        <x:v>FY2029E</x:v>
      </x:c>
      <x:c r="K5" s="12" t="str">
        <x:v>FY2030E</x:v>
      </x:c>
      <x:c r="L5" s="12" t="str">
        <x:v>FY2031E</x:v>
      </x:c>
      <x:c r="M5" s="3"/>
      <x:c r="N5" s="78"/>
    </x:row>
    <x:row r="6" ht="21" customHeight="1">
      <x:c r="A6" s="3"/>
      <x:c r="B6" s="3"/>
      <x:c r="C6" s="5"/>
      <x:c r="D6" s="5"/>
      <x:c r="E6" s="5"/>
      <x:c r="F6" s="5"/>
      <x:c r="G6" s="5"/>
      <x:c r="H6" s="5"/>
      <x:c r="I6" s="5"/>
      <x:c r="J6" s="5"/>
      <x:c r="K6" s="5"/>
      <x:c r="L6" s="5"/>
      <x:c r="M6" s="3"/>
      <x:c r="N6" s="78"/>
    </x:row>
    <x:row r="7" ht="21" customHeight="1">
      <x:c r="A7" s="3"/>
      <x:c r="B7" s="3"/>
      <x:c r="C7" s="5"/>
      <x:c r="D7" s="5"/>
      <x:c r="E7" s="5"/>
      <x:c r="F7" s="5"/>
      <x:c r="G7" s="5"/>
      <x:c r="H7" s="5"/>
      <x:c r="I7" s="5"/>
      <x:c r="J7" s="5"/>
      <x:c r="K7" s="5"/>
      <x:c r="L7" s="5"/>
      <x:c r="M7" s="3"/>
      <x:c r="N7" s="78"/>
    </x:row>
    <x:row r="8" ht="21" customHeight="1">
      <x:c r="A8" s="20" t="str">
        <x:v>Revenue</x:v>
      </x:c>
      <x:c r="B8" s="21"/>
      <x:c r="C8" s="23" t="n">
        <x:f>'03_Income_Statement'!C8</x:f>
        <x:v>1544.6929</x:v>
      </x:c>
      <x:c r="D8" s="23" t="n">
        <x:f>'03_Income_Statement'!D8</x:f>
        <x:v>1958.5607</x:v>
      </x:c>
      <x:c r="E8" s="23" t="n">
        <x:f>'03_Income_Statement'!E8</x:f>
        <x:v>2271.7823</x:v>
      </x:c>
      <x:c r="F8" s="23" t="n">
        <x:f>'03_Income_Statement'!F8</x:f>
        <x:v>2691.92</x:v>
      </x:c>
      <x:c r="G8" s="23" t="n">
        <x:f>'03_Income_Statement'!G8</x:f>
        <x:v>4040.8</x:v>
      </x:c>
      <x:c r="H8" s="23" t="n">
        <x:f>'03_Income_Statement'!H8</x:f>
        <x:v>4478.666000000001</x:v>
      </x:c>
      <x:c r="I8" s="23" t="n">
        <x:f>'03_Income_Statement'!I8</x:f>
        <x:v>5031.74172</x:v>
      </x:c>
      <x:c r="J8" s="23" t="n">
        <x:f>'03_Income_Statement'!J8</x:f>
        <x:v>5608.8385384</x:v>
      </x:c>
      <x:c r="K8" s="23" t="n">
        <x:f>'03_Income_Statement'!K8</x:f>
        <x:v>6205.677245968</x:v>
      </x:c>
      <x:c r="L8" s="23" t="n">
        <x:f>'03_Income_Statement'!L8</x:f>
        <x:v>6818.61226091776</x:v>
      </x:c>
      <x:c r="M8" s="3"/>
      <x:c r="N8" s="79" t="str">
        <x:v>FY2026 growth includes a full year of the acquired plastics</x:v>
      </x:c>
    </x:row>
    <x:row r="9" ht="21" customHeight="1">
      <x:c r="A9" s="6" t="str">
        <x:v>Operating EBITDA</x:v>
      </x:c>
      <x:c r="B9" s="3"/>
      <x:c r="C9" s="13" t="n">
        <x:f>'03_Income_Statement'!C18</x:f>
        <x:v>180.5800999999999</x:v>
      </x:c>
      <x:c r="D9" s="13" t="n">
        <x:f>'03_Income_Statement'!D18</x:f>
        <x:v>228.4749999999999</x:v>
      </x:c>
      <x:c r="E9" s="13" t="n">
        <x:f>'03_Income_Statement'!E18</x:f>
        <x:v>273.0568999999998</x:v>
      </x:c>
      <x:c r="F9" s="13" t="n">
        <x:f>'03_Income_Statement'!F18</x:f>
        <x:v>312.8899999999999</x:v>
      </x:c>
      <x:c r="G9" s="13" t="n">
        <x:f>'03_Income_Statement'!G18</x:f>
        <x:v>469.37000000000035</x:v>
      </x:c>
      <x:c r="H9" s="13" t="n">
        <x:f>'03_Income_Statement'!H18</x:f>
        <x:v>506.08925800000014</x:v>
      </x:c>
      <x:c r="I9" s="13" t="n">
        <x:f>'03_Income_Statement'!I18</x:f>
        <x:v>574.87649151</x:v>
      </x:c>
      <x:c r="J9" s="13" t="n">
        <x:f>'03_Income_Statement'!J18</x:f>
        <x:v>647.8208511852</x:v>
      </x:c>
      <x:c r="K9" s="13" t="n">
        <x:f>'03_Income_Statement'!K18</x:f>
        <x:v>724.5128184667639</x:v>
      </x:c>
      <x:c r="L9" s="13" t="n">
        <x:f>'03_Income_Statement'!L18</x:f>
        <x:v>804.5962467882956</x:v>
      </x:c>
      <x:c r="M9" s="3"/>
      <x:c r="N9" s="79" t="str">
        <x:v>business. It is not organic growth.</x:v>
      </x:c>
    </x:row>
    <x:row r="10" ht="21" customHeight="1">
      <x:c r="A10" s="20" t="str">
        <x:v>Operating EBITDA margin</x:v>
      </x:c>
      <x:c r="B10" s="21"/>
      <x:c r="C10" s="62" t="n">
        <x:f>'03_Income_Statement'!C24</x:f>
        <x:v>0.11690356057181327</x:v>
      </x:c>
      <x:c r="D10" s="62" t="n">
        <x:f>'03_Income_Statement'!D24</x:f>
        <x:v>0.11665454126594081</x:v>
      </x:c>
      <x:c r="E10" s="62" t="n">
        <x:f>'03_Income_Statement'!E24</x:f>
        <x:v>0.12019501164350116</x:v>
      </x:c>
      <x:c r="F10" s="62" t="n">
        <x:f>'03_Income_Statement'!F24</x:f>
        <x:v>0.1162330232696365</x:v>
      </x:c>
      <x:c r="G10" s="62" t="n">
        <x:f>'03_Income_Statement'!G24</x:f>
        <x:v>0.11615769154622856</x:v>
      </x:c>
      <x:c r="H10" s="62" t="n">
        <x:f>'03_Income_Statement'!H24</x:f>
        <x:v>0.113</x:v>
      </x:c>
      <x:c r="I10" s="62" t="n">
        <x:f>'03_Income_Statement'!I24</x:f>
        <x:v>0.11425</x:v>
      </x:c>
      <x:c r="J10" s="62" t="n">
        <x:f>'03_Income_Statement'!J24</x:f>
        <x:v>0.11549999999999999</x:v>
      </x:c>
      <x:c r="K10" s="62" t="n">
        <x:f>'03_Income_Statement'!K24</x:f>
        <x:v>0.11674999999999998</x:v>
      </x:c>
      <x:c r="L10" s="62" t="n">
        <x:f>'03_Income_Statement'!L24</x:f>
        <x:v>0.118</x:v>
      </x:c>
      <x:c r="M10" s="3"/>
      <x:c r="N10" s="78"/>
    </x:row>
    <x:row r="11" ht="21" customHeight="1">
      <x:c r="A11" s="20" t="str">
        <x:v>Profit after tax</x:v>
      </x:c>
      <x:c r="B11" s="21"/>
      <x:c r="C11" s="23" t="n">
        <x:f>'03_Income_Statement'!C16</x:f>
        <x:v>51.09369999999989</x:v>
      </x:c>
      <x:c r="D11" s="23" t="n">
        <x:f>'03_Income_Statement'!D16</x:f>
        <x:v>124.68529999999988</x:v>
      </x:c>
      <x:c r="E11" s="23" t="n">
        <x:f>'03_Income_Statement'!E16</x:f>
        <x:v>140.6114999999998</x:v>
      </x:c>
      <x:c r="F11" s="23" t="n">
        <x:f>'03_Income_Statement'!F16</x:f>
        <x:v>167.02999999999986</x:v>
      </x:c>
      <x:c r="G11" s="23" t="n">
        <x:f>'03_Income_Statement'!G16</x:f>
        <x:v>250.80000000000035</x:v>
      </x:c>
      <x:c r="H11" s="23" t="n">
        <x:f>'03_Income_Statement'!H16</x:f>
        <x:v>272.5975404033601</x:v>
      </x:c>
      <x:c r="I11" s="23" t="n">
        <x:f>'03_Income_Statement'!I16</x:f>
        <x:v>307.76101507588135</x:v>
      </x:c>
      <x:c r="J11" s="23" t="n">
        <x:f>'03_Income_Statement'!J16</x:f>
        <x:v>349.35983311231763</x:v>
      </x:c>
      <x:c r="K11" s="23" t="n">
        <x:f>'03_Income_Statement'!K16</x:f>
        <x:v>403.4252453151812</x:v>
      </x:c>
      <x:c r="L11" s="23" t="n">
        <x:f>'03_Income_Statement'!L16</x:f>
        <x:v>468.61873645907986</x:v>
      </x:c>
      <x:c r="M11" s="3"/>
      <x:c r="N11" s="78"/>
    </x:row>
    <x:row r="12" ht="21" customHeight="1">
      <x:c r="A12" s="6" t="str">
        <x:v>Net profit margin</x:v>
      </x:c>
      <x:c r="B12" s="3"/>
      <x:c r="C12" s="38" t="n">
        <x:f>'03_Income_Statement'!C25</x:f>
        <x:v>0.03307693069606256</x:v>
      </x:c>
      <x:c r="D12" s="38" t="n">
        <x:f>'03_Income_Statement'!D25</x:f>
        <x:v>0.06366169810310188</x:v>
      </x:c>
      <x:c r="E12" s="38" t="n">
        <x:f>'03_Income_Statement'!E25</x:f>
        <x:v>0.061894795113070396</x:v>
      </x:c>
      <x:c r="F12" s="38" t="n">
        <x:f>'03_Income_Statement'!F25</x:f>
        <x:v>0.06204864929121216</x:v>
      </x:c>
      <x:c r="G12" s="38" t="n">
        <x:f>'03_Income_Statement'!G25</x:f>
        <x:v>0.06206691744209076</x:v>
      </x:c>
      <x:c r="H12" s="38" t="n">
        <x:f>'03_Income_Statement'!H25</x:f>
        <x:v>0.06086578914421393</x:v>
      </x:c>
      <x:c r="I12" s="38" t="n">
        <x:f>'03_Income_Statement'!I25</x:f>
        <x:v>0.061163913452195504</x:v>
      </x:c>
      <x:c r="J12" s="38" t="n">
        <x:f>'03_Income_Statement'!J25</x:f>
        <x:v>0.06228737566975451</x:v>
      </x:c>
      <x:c r="K12" s="38" t="n">
        <x:f>'03_Income_Statement'!K25</x:f>
        <x:v>0.06500906014364471</x:v>
      </x:c>
      <x:c r="L12" s="38" t="n">
        <x:f>'03_Income_Statement'!L25</x:f>
        <x:v>0.06872640920573558</x:v>
      </x:c>
      <x:c r="M12" s="3"/>
      <x:c r="N12" s="78"/>
    </x:row>
    <x:row r="13" ht="21" customHeight="1">
      <x:c r="A13" s="20" t="str">
        <x:v>Earnings per share</x:v>
      </x:c>
      <x:c r="B13" s="21"/>
      <x:c r="C13" s="23" t="n">
        <x:f>'03_Income_Statement'!C17/'10_Historical'!C59</x:f>
        <x:v>4.1920800809323735</x:v>
      </x:c>
      <x:c r="D13" s="23" t="n">
        <x:f>'03_Income_Statement'!D17/'10_Historical'!D59</x:f>
        <x:v>10.230043283517888</x:v>
      </x:c>
      <x:c r="E13" s="23" t="n">
        <x:f>'03_Income_Statement'!E17/'10_Historical'!E59</x:f>
        <x:v>11.536738742741726</x:v>
      </x:c>
      <x:c r="F13" s="23" t="n">
        <x:f>'03_Income_Statement'!F17/'10_Historical'!F59</x:f>
        <x:v>13.70429497018488</x:v>
      </x:c>
      <x:c r="G13" s="23" t="n">
        <x:f>'03_Income_Statement'!G17/'10_Historical'!G59</x:f>
        <x:v>20.577364416705837</x:v>
      </x:c>
      <x:c r="H13" s="23" t="n">
        <x:f>'03_Income_Statement'!H17/'10_Historical'!G59</x:f>
        <x:v>22.36578519927283</x:v>
      </x:c>
      <x:c r="I13" s="23" t="n">
        <x:f>'03_Income_Statement'!I17/'10_Historical'!G59</x:f>
        <x:v>25.25083955530981</x:v>
      </x:c>
      <x:c r="J13" s="23" t="n">
        <x:f>'03_Income_Statement'!J17/'10_Historical'!G59</x:f>
        <x:v>28.663893933459665</x:v>
      </x:c>
      <x:c r="K13" s="23" t="n">
        <x:f>'03_Income_Statement'!K17/'10_Historical'!G59</x:f>
        <x:v>33.099793810803114</x:v>
      </x:c>
      <x:c r="L13" s="23" t="n">
        <x:f>'03_Income_Statement'!L17/'10_Historical'!G59</x:f>
        <x:v>38.448718152371235</x:v>
      </x:c>
      <x:c r="M13" s="3"/>
      <x:c r="N13" s="78"/>
    </x:row>
    <x:row r="14" ht="21" customHeight="1">
      <x:c r="A14" s="3"/>
      <x:c r="B14" s="3"/>
      <x:c r="C14" s="5"/>
      <x:c r="D14" s="5"/>
      <x:c r="E14" s="5"/>
      <x:c r="F14" s="5"/>
      <x:c r="G14" s="5"/>
      <x:c r="H14" s="5"/>
      <x:c r="I14" s="5"/>
      <x:c r="J14" s="5"/>
      <x:c r="K14" s="5"/>
      <x:c r="L14" s="5"/>
      <x:c r="M14" s="3"/>
      <x:c r="N14" s="78"/>
    </x:row>
    <x:row r="15" ht="21" customHeight="1">
      <x:c r="A15" s="6" t="str">
        <x:v>Operating cash flow</x:v>
      </x:c>
      <x:c r="B15" s="3"/>
      <x:c r="C15" s="13" t="n">
        <x:f>'05_Cash_Flow'!C8</x:f>
        <x:v>182.646</x:v>
      </x:c>
      <x:c r="D15" s="13" t="n">
        <x:f>'05_Cash_Flow'!D8</x:f>
        <x:v>162.7934</x:v>
      </x:c>
      <x:c r="E15" s="13" t="n">
        <x:f>'05_Cash_Flow'!E8</x:f>
        <x:v>254.7773</x:v>
      </x:c>
      <x:c r="F15" s="13" t="n">
        <x:f>'05_Cash_Flow'!F8</x:f>
        <x:v>223.43</x:v>
      </x:c>
      <x:c r="G15" s="13" t="n">
        <x:f>'05_Cash_Flow'!G8</x:f>
        <x:v>281.26</x:v>
      </x:c>
      <x:c r="H15" s="13" t="n">
        <x:f>'05_Cash_Flow'!H8</x:f>
        <x:v>343.8846485105338</x:v>
      </x:c>
      <x:c r="I15" s="13" t="n">
        <x:f>'05_Cash_Flow'!I8</x:f>
        <x:v>400.141985021887</x:v>
      </x:c>
      <x:c r="J15" s="13" t="n">
        <x:f>'05_Cash_Flow'!J8</x:f>
        <x:v>456.6412406705517</x:v>
      </x:c>
      <x:c r="K15" s="13" t="n">
        <x:f>'05_Cash_Flow'!K8</x:f>
        <x:v>513.3509331579824</x:v>
      </x:c>
      <x:c r="L15" s="13" t="n">
        <x:f>'05_Cash_Flow'!L8</x:f>
        <x:v>570.2667196394098</x:v>
      </x:c>
      <x:c r="M15" s="3"/>
      <x:c r="N15" s="79" t="str">
        <x:v>FY2025 CFO uses the FY2026 annual report’s recast</x:v>
      </x:c>
    </x:row>
    <x:row r="16" ht="21" customHeight="1">
      <x:c r="A16" s="6" t="str">
        <x:v>Cash capex</x:v>
      </x:c>
      <x:c r="B16" s="3"/>
      <x:c r="C16" s="13" t="n">
        <x:f>'10_Historical'!C56</x:f>
        <x:v>48.001</x:v>
      </x:c>
      <x:c r="D16" s="13" t="n">
        <x:f>'10_Historical'!D56</x:f>
        <x:v>80.9343</x:v>
      </x:c>
      <x:c r="E16" s="13" t="n">
        <x:f>'10_Historical'!E56</x:f>
        <x:v>148.3413</x:v>
      </x:c>
      <x:c r="F16" s="13" t="n">
        <x:f>'10_Historical'!F56</x:f>
        <x:v>215.53</x:v>
      </x:c>
      <x:c r="G16" s="13" t="n">
        <x:f>'10_Historical'!G56</x:f>
        <x:v>307.13</x:v>
      </x:c>
      <x:c r="H16" s="13" t="n">
        <x:f>'06_Schedules'!H23</x:f>
        <x:v>350</x:v>
      </x:c>
      <x:c r="I16" s="13" t="n">
        <x:f>'06_Schedules'!I23</x:f>
        <x:v>350</x:v>
      </x:c>
      <x:c r="J16" s="13" t="n">
        <x:f>'06_Schedules'!J23</x:f>
        <x:v>280.44192692</x:v>
      </x:c>
      <x:c r="K16" s="13" t="n">
        <x:f>'06_Schedules'!K23</x:f>
        <x:v>310.2838622984</x:v>
      </x:c>
      <x:c r="L16" s="13" t="n">
        <x:f>'06_Schedules'!L23</x:f>
        <x:v>340.93061304588804</x:v>
      </x:c>
      <x:c r="M16" s="3"/>
      <x:c r="N16" s="79" t="str">
        <x:v>comparative. Cash flow after capex is CFO less cash capex,</x:v>
      </x:c>
    </x:row>
    <x:row r="17" ht="21" customHeight="1">
      <x:c r="A17" s="20" t="str">
        <x:v>Cash flow after capex</x:v>
      </x:c>
      <x:c r="B17" s="21"/>
      <x:c r="C17" s="22" t="n">
        <x:f>C15-C16</x:f>
        <x:v>134.64499999999998</x:v>
      </x:c>
      <x:c r="D17" s="22" t="n">
        <x:f>D15-D16</x:f>
        <x:v>81.8591</x:v>
      </x:c>
      <x:c r="E17" s="22" t="n">
        <x:f>E15-E16</x:f>
        <x:v>106.436</x:v>
      </x:c>
      <x:c r="F17" s="22" t="n">
        <x:f>F15-F16</x:f>
        <x:v>7.900000000000006</x:v>
      </x:c>
      <x:c r="G17" s="22" t="n">
        <x:f>G15-G16</x:f>
        <x:v>-25.870000000000005</x:v>
      </x:c>
      <x:c r="H17" s="22" t="n">
        <x:f>H15-H16</x:f>
        <x:v>-6.115351489466207</x:v>
      </x:c>
      <x:c r="I17" s="22" t="n">
        <x:f>I15-I16</x:f>
        <x:v>50.141985021887024</x:v>
      </x:c>
      <x:c r="J17" s="22" t="n">
        <x:f>J15-J16</x:f>
        <x:v>176.1993137505517</x:v>
      </x:c>
      <x:c r="K17" s="22" t="n">
        <x:f>K15-K16</x:f>
        <x:v>203.06707085958237</x:v>
      </x:c>
      <x:c r="L17" s="22" t="n">
        <x:f>L15-L16</x:f>
        <x:v>229.33610659352172</x:v>
      </x:c>
      <x:c r="M17" s="3"/>
      <x:c r="N17" s="79" t="str">
        <x:v>not FCFF.</x:v>
      </x:c>
    </x:row>
    <x:row r="18" ht="21" customHeight="1">
      <x:c r="A18" s="3"/>
      <x:c r="B18" s="3"/>
      <x:c r="C18" s="5"/>
      <x:c r="D18" s="5"/>
      <x:c r="E18" s="5"/>
      <x:c r="F18" s="5"/>
      <x:c r="G18" s="5"/>
      <x:c r="H18" s="5"/>
      <x:c r="I18" s="5"/>
      <x:c r="J18" s="5"/>
      <x:c r="K18" s="5"/>
      <x:c r="L18" s="5"/>
      <x:c r="M18" s="3"/>
      <x:c r="N18" s="78"/>
    </x:row>
    <x:row r="19" ht="21" customHeight="1">
      <x:c r="A19" s="6" t="str">
        <x:v>Borrowings and lease liabilities</x:v>
      </x:c>
      <x:c r="B19" s="3"/>
      <x:c r="C19" s="13" t="n">
        <x:f>SUM('04_Balance_Sheet'!C25:C28)</x:f>
        <x:v>153.4183</x:v>
      </x:c>
      <x:c r="D19" s="13" t="n">
        <x:f>SUM('04_Balance_Sheet'!D25:D28)</x:f>
        <x:v>110.32809999999999</x:v>
      </x:c>
      <x:c r="E19" s="13" t="n">
        <x:f>SUM('04_Balance_Sheet'!E25:E28)</x:f>
        <x:v>60.8833</x:v>
      </x:c>
      <x:c r="F19" s="13" t="n">
        <x:f>SUM('04_Balance_Sheet'!F25:F28)</x:f>
        <x:v>278.84999999999997</x:v>
      </x:c>
      <x:c r="G19" s="13" t="n">
        <x:f>SUM('04_Balance_Sheet'!G25:G28)</x:f>
        <x:v>379.1599999999999</x:v>
      </x:c>
      <x:c r="H19" s="13" t="n">
        <x:f>SUM('04_Balance_Sheet'!H25:H28)</x:f>
        <x:v>420.8181536369759</x:v>
      </x:c>
      <x:c r="I19" s="13" t="n">
        <x:f>SUM('04_Balance_Sheet'!I25:I28)</x:f>
        <x:v>452.24269436868246</x:v>
      </x:c>
      <x:c r="J19" s="13" t="n">
        <x:f>SUM('04_Balance_Sheet'!J25:J28)</x:f>
        <x:v>364.4823027094767</x:v>
      </x:c>
      <x:c r="K19" s="13" t="n">
        <x:f>SUM('04_Balance_Sheet'!K25:K28)</x:f>
        <x:v>247.74274396908197</x:v>
      </x:c>
      <x:c r="L19" s="13" t="n">
        <x:f>SUM('04_Balance_Sheet'!L25:L28)</x:f>
        <x:v>101.18785953055647</x:v>
      </x:c>
      <x:c r="M19" s="3"/>
      <x:c r="N19" s="78"/>
    </x:row>
    <x:row r="20" ht="21" customHeight="1">
      <x:c r="A20" s="6" t="str">
        <x:v>Cash and current investments</x:v>
      </x:c>
      <x:c r="B20" s="3"/>
      <x:c r="C20" s="13" t="n">
        <x:f>SUM('04_Balance_Sheet'!C15:C16)</x:f>
        <x:v>24.716099999999997</x:v>
      </x:c>
      <x:c r="D20" s="13" t="n">
        <x:f>SUM('04_Balance_Sheet'!D15:D16)</x:f>
        <x:v>59.636</x:v>
      </x:c>
      <x:c r="E20" s="13" t="n">
        <x:f>SUM('04_Balance_Sheet'!E15:E16)</x:f>
        <x:v>117.71079999999999</x:v>
      </x:c>
      <x:c r="F20" s="13" t="n">
        <x:f>SUM('04_Balance_Sheet'!F15:F16)</x:f>
        <x:v>108.02</x:v>
      </x:c>
      <x:c r="G20" s="13" t="n">
        <x:f>SUM('04_Balance_Sheet'!G15:G16)</x:f>
        <x:v>124.76</x:v>
      </x:c>
      <x:c r="H20" s="13" t="n">
        <x:f>SUM('04_Balance_Sheet'!H15:H16)</x:f>
        <x:v>96.43332000000002</x:v>
      </x:c>
      <x:c r="I20" s="13" t="n">
        <x:f>SUM('04_Balance_Sheet'!I15:I16)</x:f>
        <x:v>107.4948344</x:v>
      </x:c>
      <x:c r="J20" s="13" t="n">
        <x:f>SUM('04_Balance_Sheet'!J15:J16)</x:f>
        <x:v>119.03677076800003</x:v>
      </x:c>
      <x:c r="K20" s="13" t="n">
        <x:f>SUM('04_Balance_Sheet'!K15:K16)</x:f>
        <x:v>130.97354491936002</x:v>
      </x:c>
      <x:c r="L20" s="13" t="n">
        <x:f>SUM('04_Balance_Sheet'!L15:L16)</x:f>
        <x:v>143.23224521835527</x:v>
      </x:c>
      <x:c r="M20" s="3"/>
      <x:c r="N20" s="78"/>
    </x:row>
    <x:row r="21" ht="21" customHeight="1">
      <x:c r="A21" s="3"/>
      <x:c r="B21" s="3"/>
      <x:c r="C21" s="5"/>
      <x:c r="D21" s="5"/>
      <x:c r="E21" s="5"/>
      <x:c r="F21" s="5"/>
      <x:c r="G21" s="5"/>
      <x:c r="H21" s="5"/>
      <x:c r="I21" s="5"/>
      <x:c r="J21" s="5"/>
      <x:c r="K21" s="5"/>
      <x:c r="L21" s="5"/>
      <x:c r="M21" s="3"/>
      <x:c r="N21" s="78"/>
    </x:row>
    <x:row r="22" ht="21" customHeight="1">
      <x:c r="A22" s="3"/>
      <x:c r="B22" s="3"/>
      <x:c r="C22" s="5"/>
      <x:c r="D22" s="5"/>
      <x:c r="E22" s="5"/>
      <x:c r="F22" s="5"/>
      <x:c r="G22" s="5"/>
      <x:c r="H22" s="5"/>
      <x:c r="I22" s="5"/>
      <x:c r="J22" s="5"/>
      <x:c r="K22" s="5"/>
      <x:c r="L22" s="5"/>
      <x:c r="M22" s="3"/>
      <x:c r="N22" s="78"/>
    </x:row>
    <x:row r="23" ht="21" customHeight="1">
      <x:c r="A23" s="3"/>
      <x:c r="B23" s="3"/>
      <x:c r="C23" s="5"/>
      <x:c r="D23" s="5"/>
      <x:c r="E23" s="5"/>
      <x:c r="F23" s="5"/>
      <x:c r="G23" s="5"/>
      <x:c r="H23" s="5"/>
      <x:c r="I23" s="5"/>
      <x:c r="J23" s="5"/>
      <x:c r="K23" s="5"/>
      <x:c r="L23" s="5"/>
      <x:c r="M23" s="3"/>
      <x:c r="N23" s="78"/>
    </x:row>
    <x:row r="24" ht="21" customHeight="1">
      <x:c r="A24" s="3"/>
      <x:c r="B24" s="3"/>
      <x:c r="C24" s="5"/>
      <x:c r="D24" s="5"/>
      <x:c r="E24" s="5"/>
      <x:c r="F24" s="5"/>
      <x:c r="G24" s="5"/>
      <x:c r="H24" s="5"/>
      <x:c r="I24" s="5"/>
      <x:c r="J24" s="5"/>
      <x:c r="K24" s="5"/>
      <x:c r="L24" s="5"/>
      <x:c r="M24" s="3"/>
      <x:c r="N24" s="78"/>
    </x:row>
    <x:row r="25" ht="21" customHeight="1">
      <x:c r="A25" s="6" t="str">
        <x:v>Year</x:v>
      </x:c>
      <x:c r="B25" s="3"/>
      <x:c r="C25" s="27" t="str">
        <x:v>Revenue</x:v>
      </x:c>
      <x:c r="D25" s="27" t="str">
        <x:v>EBITDA margin</x:v>
      </x:c>
      <x:c r="E25" s="5"/>
      <x:c r="F25" s="5"/>
      <x:c r="G25" s="5"/>
      <x:c r="H25" s="5"/>
      <x:c r="I25" s="5"/>
      <x:c r="J25" s="5"/>
      <x:c r="K25" s="5"/>
      <x:c r="L25" s="5"/>
      <x:c r="M25" s="3"/>
      <x:c r="N25" s="78"/>
    </x:row>
    <x:row r="26" ht="21" customHeight="1">
      <x:c r="A26" s="6" t="str">
        <x:v>FY2022A</x:v>
      </x:c>
      <x:c r="B26" s="3"/>
      <x:c r="C26" s="5" t="n">
        <x:f>C8</x:f>
        <x:v>1544.6929</x:v>
      </x:c>
      <x:c r="D26" s="24" t="n">
        <x:f>C10</x:f>
        <x:v>0.11690356057181327</x:v>
      </x:c>
      <x:c r="E26" s="5"/>
      <x:c r="F26" s="5"/>
      <x:c r="G26" s="5"/>
      <x:c r="H26" s="5"/>
      <x:c r="I26" s="5"/>
      <x:c r="J26" s="5"/>
      <x:c r="K26" s="5"/>
      <x:c r="L26" s="5"/>
      <x:c r="M26" s="3"/>
      <x:c r="N26" s="78"/>
    </x:row>
    <x:row r="27" ht="21" customHeight="1">
      <x:c r="A27" s="6" t="str">
        <x:v>FY2023A</x:v>
      </x:c>
      <x:c r="B27" s="3"/>
      <x:c r="C27" s="5" t="n">
        <x:f>D8</x:f>
        <x:v>1958.5607</x:v>
      </x:c>
      <x:c r="D27" s="24" t="n">
        <x:f>D10</x:f>
        <x:v>0.11665454126594081</x:v>
      </x:c>
      <x:c r="E27" s="5"/>
      <x:c r="F27" s="5"/>
      <x:c r="G27" s="5"/>
      <x:c r="H27" s="5"/>
      <x:c r="I27" s="5"/>
      <x:c r="J27" s="5"/>
      <x:c r="K27" s="5"/>
      <x:c r="L27" s="5"/>
      <x:c r="M27" s="3"/>
      <x:c r="N27" s="78"/>
    </x:row>
    <x:row r="28" ht="21" customHeight="1">
      <x:c r="A28" s="6" t="str">
        <x:v>FY2024A</x:v>
      </x:c>
      <x:c r="B28" s="3"/>
      <x:c r="C28" s="5" t="n">
        <x:f>E8</x:f>
        <x:v>2271.7823</x:v>
      </x:c>
      <x:c r="D28" s="24" t="n">
        <x:f>E10</x:f>
        <x:v>0.12019501164350116</x:v>
      </x:c>
      <x:c r="E28" s="5"/>
      <x:c r="F28" s="5"/>
      <x:c r="G28" s="5"/>
      <x:c r="H28" s="5"/>
      <x:c r="I28" s="5"/>
      <x:c r="J28" s="5"/>
      <x:c r="K28" s="5"/>
      <x:c r="L28" s="5"/>
      <x:c r="M28" s="3"/>
      <x:c r="N28" s="78"/>
    </x:row>
    <x:row r="29" ht="21" customHeight="1">
      <x:c r="A29" s="6" t="str">
        <x:v>FY2025A</x:v>
      </x:c>
      <x:c r="B29" s="3"/>
      <x:c r="C29" s="5" t="n">
        <x:f>F8</x:f>
        <x:v>2691.92</x:v>
      </x:c>
      <x:c r="D29" s="24" t="n">
        <x:f>F10</x:f>
        <x:v>0.1162330232696365</x:v>
      </x:c>
      <x:c r="E29" s="5"/>
      <x:c r="F29" s="5"/>
      <x:c r="G29" s="5"/>
      <x:c r="H29" s="5"/>
      <x:c r="I29" s="5"/>
      <x:c r="J29" s="5"/>
      <x:c r="K29" s="5"/>
      <x:c r="L29" s="5"/>
      <x:c r="M29" s="3"/>
      <x:c r="N29" s="78"/>
    </x:row>
    <x:row r="30" ht="21" customHeight="1">
      <x:c r="A30" s="6" t="str">
        <x:v>FY2026A</x:v>
      </x:c>
      <x:c r="B30" s="3"/>
      <x:c r="C30" s="5" t="n">
        <x:f>G8</x:f>
        <x:v>4040.8</x:v>
      </x:c>
      <x:c r="D30" s="24" t="n">
        <x:f>G10</x:f>
        <x:v>0.11615769154622856</x:v>
      </x:c>
      <x:c r="E30" s="5"/>
      <x:c r="F30" s="5"/>
      <x:c r="G30" s="5"/>
      <x:c r="H30" s="5"/>
      <x:c r="I30" s="5"/>
      <x:c r="J30" s="5"/>
      <x:c r="K30" s="5"/>
      <x:c r="L30" s="5"/>
      <x:c r="M30" s="3"/>
      <x:c r="N30" s="78"/>
    </x:row>
    <x:row r="31" ht="21" customHeight="1">
      <x:c r="A31" s="6" t="str">
        <x:v>FY2027E</x:v>
      </x:c>
      <x:c r="B31" s="3"/>
      <x:c r="C31" s="5" t="n">
        <x:f>H8</x:f>
        <x:v>4478.666000000001</x:v>
      </x:c>
      <x:c r="D31" s="24" t="n">
        <x:f>H10</x:f>
        <x:v>0.113</x:v>
      </x:c>
      <x:c r="E31" s="5"/>
      <x:c r="F31" s="5"/>
      <x:c r="G31" s="5"/>
      <x:c r="H31" s="5"/>
      <x:c r="I31" s="5"/>
      <x:c r="J31" s="5"/>
      <x:c r="K31" s="5"/>
      <x:c r="L31" s="5"/>
      <x:c r="M31" s="3"/>
      <x:c r="N31" s="78"/>
    </x:row>
    <x:row r="32" ht="21" customHeight="1">
      <x:c r="A32" s="6" t="str">
        <x:v>FY2028E</x:v>
      </x:c>
      <x:c r="B32" s="3"/>
      <x:c r="C32" s="5" t="n">
        <x:f>I8</x:f>
        <x:v>5031.74172</x:v>
      </x:c>
      <x:c r="D32" s="24" t="n">
        <x:f>I10</x:f>
        <x:v>0.11425</x:v>
      </x:c>
      <x:c r="E32" s="5"/>
      <x:c r="F32" s="5"/>
      <x:c r="G32" s="5"/>
      <x:c r="H32" s="5"/>
      <x:c r="I32" s="5"/>
      <x:c r="J32" s="5"/>
      <x:c r="K32" s="5"/>
      <x:c r="L32" s="5"/>
      <x:c r="M32" s="3"/>
      <x:c r="N32" s="78"/>
    </x:row>
    <x:row r="33" ht="21" customHeight="1">
      <x:c r="A33" s="6" t="str">
        <x:v>FY2029E</x:v>
      </x:c>
      <x:c r="B33" s="3"/>
      <x:c r="C33" s="5" t="n">
        <x:f>J8</x:f>
        <x:v>5608.8385384</x:v>
      </x:c>
      <x:c r="D33" s="24" t="n">
        <x:f>J10</x:f>
        <x:v>0.11549999999999999</x:v>
      </x:c>
      <x:c r="E33" s="5"/>
      <x:c r="F33" s="5"/>
      <x:c r="G33" s="5"/>
      <x:c r="H33" s="5"/>
      <x:c r="I33" s="5"/>
      <x:c r="J33" s="5"/>
      <x:c r="K33" s="5"/>
      <x:c r="L33" s="5"/>
      <x:c r="M33" s="3"/>
      <x:c r="N33" s="78"/>
    </x:row>
    <x:row r="34" ht="21" customHeight="1">
      <x:c r="A34" s="6" t="str">
        <x:v>FY2030E</x:v>
      </x:c>
      <x:c r="B34" s="3"/>
      <x:c r="C34" s="5" t="n">
        <x:f>K8</x:f>
        <x:v>6205.677245968</x:v>
      </x:c>
      <x:c r="D34" s="24" t="n">
        <x:f>K10</x:f>
        <x:v>0.11674999999999998</x:v>
      </x:c>
      <x:c r="E34" s="5"/>
      <x:c r="F34" s="5"/>
      <x:c r="G34" s="5"/>
      <x:c r="H34" s="5"/>
      <x:c r="I34" s="5"/>
      <x:c r="J34" s="5"/>
      <x:c r="K34" s="5"/>
      <x:c r="L34" s="5"/>
      <x:c r="M34" s="3"/>
      <x:c r="N34" s="78"/>
    </x:row>
    <x:row r="35" ht="21" customHeight="1">
      <x:c r="A35" s="6" t="str">
        <x:v>FY2031E</x:v>
      </x:c>
      <x:c r="B35" s="3"/>
      <x:c r="C35" s="5" t="n">
        <x:f>L8</x:f>
        <x:v>6818.61226091776</x:v>
      </x:c>
      <x:c r="D35" s="24" t="n">
        <x:f>L10</x:f>
        <x:v>0.118</x:v>
      </x:c>
      <x:c r="E35" s="5"/>
      <x:c r="F35" s="5"/>
      <x:c r="G35" s="5"/>
      <x:c r="H35" s="5"/>
      <x:c r="I35" s="5"/>
      <x:c r="J35" s="5"/>
      <x:c r="K35" s="5"/>
      <x:c r="L35" s="5"/>
      <x:c r="M35" s="3"/>
      <x:c r="N35" s="78"/>
    </x:row>
    <x:row r="36" ht="21" customHeight="1">
      <x:c r="A36" s="3"/>
      <x:c r="B36" s="3"/>
      <x:c r="C36" s="5"/>
      <x:c r="D36" s="5"/>
      <x:c r="E36" s="5"/>
      <x:c r="F36" s="5"/>
      <x:c r="G36" s="5"/>
      <x:c r="H36" s="5"/>
      <x:c r="I36" s="5"/>
      <x:c r="J36" s="5"/>
      <x:c r="K36" s="5"/>
      <x:c r="L36" s="5"/>
      <x:c r="M36" s="3"/>
      <x:c r="N36" s="78"/>
    </x:row>
    <x:row r="37" ht="21" customHeight="1">
      <x:c r="A37" s="3"/>
      <x:c r="B37" s="3"/>
      <x:c r="C37" s="5"/>
      <x:c r="D37" s="5"/>
      <x:c r="E37" s="5"/>
      <x:c r="F37" s="5"/>
      <x:c r="G37" s="5"/>
      <x:c r="H37" s="5"/>
      <x:c r="I37" s="5"/>
      <x:c r="J37" s="5"/>
      <x:c r="K37" s="5"/>
      <x:c r="L37" s="5"/>
      <x:c r="M37" s="3"/>
      <x:c r="N37" s="78"/>
    </x:row>
    <x:row r="38" ht="21" customHeight="1">
      <x:c r="A38" s="3"/>
      <x:c r="B38" s="3"/>
      <x:c r="C38" s="5"/>
      <x:c r="D38" s="5"/>
      <x:c r="E38" s="5"/>
      <x:c r="F38" s="5"/>
      <x:c r="G38" s="5"/>
      <x:c r="H38" s="5"/>
      <x:c r="I38" s="5"/>
      <x:c r="J38" s="5"/>
      <x:c r="K38" s="5"/>
      <x:c r="L38" s="5"/>
      <x:c r="M38" s="3"/>
      <x:c r="N38" s="78"/>
    </x:row>
    <x:row r="39" ht="21" customHeight="1">
      <x:c r="A39" s="3"/>
      <x:c r="B39" s="3"/>
      <x:c r="C39" s="5"/>
      <x:c r="D39" s="5"/>
      <x:c r="E39" s="5"/>
      <x:c r="F39" s="5"/>
      <x:c r="G39" s="5"/>
      <x:c r="H39" s="5"/>
      <x:c r="I39" s="5"/>
      <x:c r="J39" s="5"/>
      <x:c r="K39" s="5"/>
      <x:c r="L39" s="5"/>
      <x:c r="M39" s="3"/>
      <x:c r="N39" s="78"/>
    </x:row>
    <x:row r="40" ht="21" customHeight="1">
      <x:c r="A40" s="3"/>
      <x:c r="B40" s="3"/>
      <x:c r="C40" s="5"/>
      <x:c r="D40" s="5"/>
      <x:c r="E40" s="5"/>
      <x:c r="F40" s="5"/>
      <x:c r="G40" s="5"/>
      <x:c r="H40" s="5"/>
      <x:c r="I40" s="5"/>
      <x:c r="J40" s="5"/>
      <x:c r="K40" s="5"/>
      <x:c r="L40" s="5"/>
      <x:c r="M40" s="3"/>
      <x:c r="N40" s="78"/>
    </x:row>
    <x:row r="41" ht="21" customHeight="1">
      <x:c r="A41" s="3"/>
      <x:c r="B41" s="3"/>
      <x:c r="C41" s="5"/>
      <x:c r="D41" s="5"/>
      <x:c r="E41" s="5"/>
      <x:c r="F41" s="5"/>
      <x:c r="G41" s="5"/>
      <x:c r="H41" s="5"/>
      <x:c r="I41" s="5"/>
      <x:c r="J41" s="5"/>
      <x:c r="K41" s="5"/>
      <x:c r="L41" s="5"/>
      <x:c r="M41" s="3"/>
      <x:c r="N41" s="78"/>
    </x:row>
    <x:row r="42" ht="21" customHeight="1">
      <x:c r="A42" s="3"/>
      <x:c r="B42" s="3"/>
      <x:c r="C42" s="5"/>
      <x:c r="D42" s="5"/>
      <x:c r="E42" s="5"/>
      <x:c r="F42" s="5"/>
      <x:c r="G42" s="5"/>
      <x:c r="H42" s="5"/>
      <x:c r="I42" s="5"/>
      <x:c r="J42" s="5"/>
      <x:c r="K42" s="5"/>
      <x:c r="L42" s="5"/>
      <x:c r="M42" s="3"/>
      <x:c r="N42" s="78"/>
    </x:row>
    <x:row r="43" ht="21" customHeight="1">
      <x:c r="A43" s="3"/>
      <x:c r="B43" s="3"/>
      <x:c r="C43" s="5"/>
      <x:c r="D43" s="5"/>
      <x:c r="E43" s="5"/>
      <x:c r="F43" s="5"/>
      <x:c r="G43" s="5"/>
      <x:c r="H43" s="5"/>
      <x:c r="I43" s="5"/>
      <x:c r="J43" s="5"/>
      <x:c r="K43" s="5"/>
      <x:c r="L43" s="5"/>
      <x:c r="M43" s="3"/>
      <x:c r="N43" s="78"/>
    </x:row>
    <x:row r="44" ht="21" customHeight="1">
      <x:c r="A44" s="3"/>
      <x:c r="B44" s="3"/>
      <x:c r="C44" s="5"/>
      <x:c r="D44" s="5"/>
      <x:c r="E44" s="5"/>
      <x:c r="F44" s="5"/>
      <x:c r="G44" s="5"/>
      <x:c r="H44" s="5"/>
      <x:c r="I44" s="5"/>
      <x:c r="J44" s="5"/>
      <x:c r="K44" s="5"/>
      <x:c r="L44" s="5"/>
      <x:c r="M44" s="3"/>
      <x:c r="N44" s="78"/>
    </x:row>
    <x:row r="45" ht="21" customHeight="1">
      <x:c r="A45" s="3"/>
      <x:c r="B45" s="3"/>
      <x:c r="C45" s="5"/>
      <x:c r="D45" s="5"/>
      <x:c r="E45" s="5"/>
      <x:c r="F45" s="5"/>
      <x:c r="G45" s="5"/>
      <x:c r="H45" s="5"/>
      <x:c r="I45" s="5"/>
      <x:c r="J45" s="5"/>
      <x:c r="K45" s="5"/>
      <x:c r="L45" s="5"/>
      <x:c r="M45" s="3"/>
      <x:c r="N45" s="78"/>
    </x:row>
    <x:row r="46" ht="21" customHeight="1">
      <x:c r="A46" s="3"/>
      <x:c r="B46" s="3"/>
      <x:c r="C46" s="5"/>
      <x:c r="D46" s="5"/>
      <x:c r="E46" s="5"/>
      <x:c r="F46" s="5"/>
      <x:c r="G46" s="5"/>
      <x:c r="H46" s="5"/>
      <x:c r="I46" s="5"/>
      <x:c r="J46" s="5"/>
      <x:c r="K46" s="5"/>
      <x:c r="L46" s="5"/>
      <x:c r="M46" s="3"/>
      <x:c r="N46" s="78"/>
    </x:row>
    <x:row r="47" ht="21" customHeight="1">
      <x:c r="A47" s="3"/>
      <x:c r="B47" s="3"/>
      <x:c r="C47" s="5"/>
      <x:c r="D47" s="5"/>
      <x:c r="E47" s="5"/>
      <x:c r="F47" s="5"/>
      <x:c r="G47" s="5"/>
      <x:c r="H47" s="5"/>
      <x:c r="I47" s="5"/>
      <x:c r="J47" s="5"/>
      <x:c r="K47" s="5"/>
      <x:c r="L47" s="5"/>
      <x:c r="M47" s="3"/>
      <x:c r="N47" s="78"/>
    </x:row>
    <x:row r="48" ht="21" customHeight="1">
      <x:c r="A48" s="3"/>
      <x:c r="B48" s="3"/>
      <x:c r="C48" s="5"/>
      <x:c r="D48" s="5"/>
      <x:c r="E48" s="5"/>
      <x:c r="F48" s="5"/>
      <x:c r="G48" s="5"/>
      <x:c r="H48" s="5"/>
      <x:c r="I48" s="5"/>
      <x:c r="J48" s="5"/>
      <x:c r="K48" s="5"/>
      <x:c r="L48" s="5"/>
      <x:c r="M48" s="3"/>
      <x:c r="N48" s="78"/>
    </x:row>
    <x:row r="49" ht="21" customHeight="1">
      <x:c r="A49" s="3"/>
      <x:c r="B49" s="3"/>
      <x:c r="C49" s="5"/>
      <x:c r="D49" s="5"/>
      <x:c r="E49" s="5"/>
      <x:c r="F49" s="5"/>
      <x:c r="G49" s="5"/>
      <x:c r="H49" s="5"/>
      <x:c r="I49" s="5"/>
      <x:c r="J49" s="5"/>
      <x:c r="K49" s="5"/>
      <x:c r="L49" s="5"/>
      <x:c r="M49" s="3"/>
      <x:c r="N49" s="78"/>
    </x:row>
    <x:row r="50" ht="21" customHeight="1">
      <x:c r="A50" s="3"/>
      <x:c r="B50" s="3"/>
      <x:c r="C50" s="5"/>
      <x:c r="D50" s="5"/>
      <x:c r="E50" s="5"/>
      <x:c r="F50" s="5"/>
      <x:c r="G50" s="5"/>
      <x:c r="H50" s="5"/>
      <x:c r="I50" s="5"/>
      <x:c r="J50" s="5"/>
      <x:c r="K50" s="5"/>
      <x:c r="L50" s="5"/>
      <x:c r="M50" s="3"/>
      <x:c r="N50" s="78"/>
    </x:row>
    <x:row r="51" ht="21" customHeight="1">
      <x:c r="A51" s="3"/>
      <x:c r="B51" s="3"/>
      <x:c r="C51" s="5"/>
      <x:c r="D51" s="5"/>
      <x:c r="E51" s="5"/>
      <x:c r="F51" s="5"/>
      <x:c r="G51" s="5"/>
      <x:c r="H51" s="5"/>
      <x:c r="I51" s="5"/>
      <x:c r="J51" s="5"/>
      <x:c r="K51" s="5"/>
      <x:c r="L51" s="5"/>
      <x:c r="M51" s="3"/>
      <x:c r="N51" s="78"/>
    </x:row>
    <x:row r="52" ht="21" customHeight="1">
      <x:c r="A52" s="3"/>
      <x:c r="B52" s="3"/>
      <x:c r="C52" s="5"/>
      <x:c r="D52" s="5"/>
      <x:c r="E52" s="5"/>
      <x:c r="F52" s="5"/>
      <x:c r="G52" s="5"/>
      <x:c r="H52" s="5"/>
      <x:c r="I52" s="5"/>
      <x:c r="J52" s="5"/>
      <x:c r="K52" s="5"/>
      <x:c r="L52" s="5"/>
      <x:c r="M52" s="3"/>
      <x:c r="N52" s="78"/>
    </x:row>
    <x:row r="53" ht="21" customHeight="1">
      <x:c r="A53" s="3"/>
      <x:c r="B53" s="3"/>
      <x:c r="C53" s="5"/>
      <x:c r="D53" s="5"/>
      <x:c r="E53" s="5"/>
      <x:c r="F53" s="5"/>
      <x:c r="G53" s="5"/>
      <x:c r="H53" s="5"/>
      <x:c r="I53" s="5"/>
      <x:c r="J53" s="5"/>
      <x:c r="K53" s="5"/>
      <x:c r="L53" s="5"/>
      <x:c r="M53" s="3"/>
      <x:c r="N53" s="78"/>
    </x:row>
    <x:row r="54" ht="21" customHeight="1">
      <x:c r="A54" s="3"/>
      <x:c r="B54" s="3"/>
      <x:c r="C54" s="5"/>
      <x:c r="D54" s="5"/>
      <x:c r="E54" s="5"/>
      <x:c r="F54" s="5"/>
      <x:c r="G54" s="5"/>
      <x:c r="H54" s="5"/>
      <x:c r="I54" s="5"/>
      <x:c r="J54" s="5"/>
      <x:c r="K54" s="5"/>
      <x:c r="L54" s="5"/>
      <x:c r="M54" s="3"/>
      <x:c r="N54" s="78"/>
    </x:row>
    <x:row r="55" ht="21" customHeight="1">
      <x:c r="A55" s="3"/>
      <x:c r="B55" s="3"/>
      <x:c r="C55" s="5"/>
      <x:c r="D55" s="5"/>
      <x:c r="E55" s="5"/>
      <x:c r="F55" s="5"/>
      <x:c r="G55" s="5"/>
      <x:c r="H55" s="5"/>
      <x:c r="I55" s="5"/>
      <x:c r="J55" s="5"/>
      <x:c r="K55" s="5"/>
      <x:c r="L55" s="5"/>
      <x:c r="M55" s="3"/>
      <x:c r="N55" s="78"/>
    </x:row>
    <x:row r="56" ht="21" customHeight="1">
      <x:c r="A56" s="3"/>
      <x:c r="B56" s="3"/>
      <x:c r="C56" s="5"/>
      <x:c r="D56" s="5"/>
      <x:c r="E56" s="5"/>
      <x:c r="F56" s="5"/>
      <x:c r="G56" s="5"/>
      <x:c r="H56" s="5"/>
      <x:c r="I56" s="5"/>
      <x:c r="J56" s="5"/>
      <x:c r="K56" s="5"/>
      <x:c r="L56" s="5"/>
      <x:c r="M56" s="3"/>
      <x:c r="N56" s="78"/>
    </x:row>
    <x:row r="57" ht="21" customHeight="1">
      <x:c r="A57" s="3"/>
      <x:c r="B57" s="3"/>
      <x:c r="C57" s="5"/>
      <x:c r="D57" s="5"/>
      <x:c r="E57" s="5"/>
      <x:c r="F57" s="5"/>
      <x:c r="G57" s="5"/>
      <x:c r="H57" s="5"/>
      <x:c r="I57" s="5"/>
      <x:c r="J57" s="5"/>
      <x:c r="K57" s="5"/>
      <x:c r="L57" s="5"/>
      <x:c r="M57" s="3"/>
      <x:c r="N57" s="78"/>
    </x:row>
    <x:row r="58" ht="21" customHeight="1">
      <x:c r="A58" s="3"/>
      <x:c r="B58" s="3"/>
      <x:c r="C58" s="5"/>
      <x:c r="D58" s="5"/>
      <x:c r="E58" s="5"/>
      <x:c r="F58" s="5"/>
      <x:c r="G58" s="5"/>
      <x:c r="H58" s="5"/>
      <x:c r="I58" s="5"/>
      <x:c r="J58" s="5"/>
      <x:c r="K58" s="5"/>
      <x:c r="L58" s="5"/>
      <x:c r="M58" s="3"/>
      <x:c r="N58" s="78"/>
    </x:row>
    <x:row r="59" ht="21" customHeight="1">
      <x:c r="A59" s="3"/>
      <x:c r="B59" s="3"/>
      <x:c r="C59" s="5"/>
      <x:c r="D59" s="5"/>
      <x:c r="E59" s="5"/>
      <x:c r="F59" s="5"/>
      <x:c r="G59" s="5"/>
      <x:c r="H59" s="5"/>
      <x:c r="I59" s="5"/>
      <x:c r="J59" s="5"/>
      <x:c r="K59" s="5"/>
      <x:c r="L59" s="5"/>
      <x:c r="M59" s="3"/>
      <x:c r="N59" s="78"/>
    </x:row>
    <x:row r="60" ht="21" customHeight="1">
      <x:c r="A60" s="3"/>
      <x:c r="B60" s="3"/>
      <x:c r="C60" s="5"/>
      <x:c r="D60" s="5"/>
      <x:c r="E60" s="5"/>
      <x:c r="F60" s="5"/>
      <x:c r="G60" s="5"/>
      <x:c r="H60" s="5"/>
      <x:c r="I60" s="5"/>
      <x:c r="J60" s="5"/>
      <x:c r="K60" s="5"/>
      <x:c r="L60" s="5"/>
      <x:c r="M60" s="3"/>
      <x:c r="N60" s="78"/>
    </x:row>
    <x:row r="61" ht="21" customHeight="1">
      <x:c r="A61" s="3"/>
      <x:c r="B61" s="3"/>
      <x:c r="C61" s="5"/>
      <x:c r="D61" s="5"/>
      <x:c r="E61" s="5"/>
      <x:c r="F61" s="5"/>
      <x:c r="G61" s="5"/>
      <x:c r="H61" s="5"/>
      <x:c r="I61" s="5"/>
      <x:c r="J61" s="5"/>
      <x:c r="K61" s="5"/>
      <x:c r="L61" s="5"/>
      <x:c r="M61" s="3"/>
      <x:c r="N61" s="78"/>
    </x:row>
    <x:row r="62" ht="21" customHeight="1">
      <x:c r="A62" s="3"/>
      <x:c r="B62" s="3"/>
      <x:c r="C62" s="5"/>
      <x:c r="D62" s="5"/>
      <x:c r="E62" s="5"/>
      <x:c r="F62" s="5"/>
      <x:c r="G62" s="5"/>
      <x:c r="H62" s="5"/>
      <x:c r="I62" s="5"/>
      <x:c r="J62" s="5"/>
      <x:c r="K62" s="5"/>
      <x:c r="L62" s="5"/>
      <x:c r="M62" s="3"/>
      <x:c r="N62" s="78"/>
    </x:row>
    <x:row r="63" ht="21" customHeight="1">
      <x:c r="A63" s="3"/>
      <x:c r="B63" s="3"/>
      <x:c r="C63" s="5"/>
      <x:c r="D63" s="5"/>
      <x:c r="E63" s="5"/>
      <x:c r="F63" s="5"/>
      <x:c r="G63" s="5"/>
      <x:c r="H63" s="5"/>
      <x:c r="I63" s="5"/>
      <x:c r="J63" s="5"/>
      <x:c r="K63" s="5"/>
      <x:c r="L63" s="5"/>
      <x:c r="M63" s="3"/>
      <x:c r="N63" s="78"/>
    </x:row>
    <x:row r="64" ht="21" customHeight="1">
      <x:c r="A64" s="3"/>
      <x:c r="B64" s="3"/>
      <x:c r="C64" s="5"/>
      <x:c r="D64" s="5"/>
      <x:c r="E64" s="5"/>
      <x:c r="F64" s="5"/>
      <x:c r="G64" s="5"/>
      <x:c r="H64" s="5"/>
      <x:c r="I64" s="5"/>
      <x:c r="J64" s="5"/>
      <x:c r="K64" s="5"/>
      <x:c r="L64" s="5"/>
      <x:c r="M64" s="3"/>
      <x:c r="N64" s="78"/>
    </x:row>
    <x:row r="65" ht="21" customHeight="1">
      <x:c r="A65" s="3"/>
      <x:c r="B65" s="3"/>
      <x:c r="C65" s="5"/>
      <x:c r="D65" s="5"/>
      <x:c r="E65" s="5"/>
      <x:c r="F65" s="5"/>
      <x:c r="G65" s="5"/>
      <x:c r="H65" s="5"/>
      <x:c r="I65" s="5"/>
      <x:c r="J65" s="5"/>
      <x:c r="K65" s="5"/>
      <x:c r="L65" s="5"/>
      <x:c r="M65" s="3"/>
      <x:c r="N65" s="78"/>
    </x:row>
    <x:row r="66" ht="21" customHeight="1">
      <x:c r="A66" s="3"/>
      <x:c r="B66" s="3"/>
      <x:c r="C66" s="5"/>
      <x:c r="D66" s="5"/>
      <x:c r="E66" s="5"/>
      <x:c r="F66" s="5"/>
      <x:c r="G66" s="5"/>
      <x:c r="H66" s="5"/>
      <x:c r="I66" s="5"/>
      <x:c r="J66" s="5"/>
      <x:c r="K66" s="5"/>
      <x:c r="L66" s="5"/>
      <x:c r="M66" s="3"/>
      <x:c r="N66" s="78"/>
    </x:row>
    <x:row r="67" ht="21" customHeight="1">
      <x:c r="A67" s="3"/>
      <x:c r="B67" s="3"/>
      <x:c r="C67" s="5"/>
      <x:c r="D67" s="5"/>
      <x:c r="E67" s="5"/>
      <x:c r="F67" s="5"/>
      <x:c r="G67" s="5"/>
      <x:c r="H67" s="5"/>
      <x:c r="I67" s="5"/>
      <x:c r="J67" s="5"/>
      <x:c r="K67" s="5"/>
      <x:c r="L67" s="5"/>
      <x:c r="M67" s="3"/>
      <x:c r="N67" s="78"/>
    </x:row>
    <x:row r="68" ht="21" customHeight="1">
      <x:c r="A68" s="3"/>
      <x:c r="B68" s="3"/>
      <x:c r="C68" s="5"/>
      <x:c r="D68" s="5"/>
      <x:c r="E68" s="5"/>
      <x:c r="F68" s="5"/>
      <x:c r="G68" s="5"/>
      <x:c r="H68" s="5"/>
      <x:c r="I68" s="5"/>
      <x:c r="J68" s="5"/>
      <x:c r="K68" s="5"/>
      <x:c r="L68" s="5"/>
      <x:c r="M68" s="3"/>
      <x:c r="N68" s="78"/>
    </x:row>
    <x:row r="69" ht="21" customHeight="1">
      <x:c r="A69" s="3"/>
      <x:c r="B69" s="3"/>
      <x:c r="C69" s="5"/>
      <x:c r="D69" s="5"/>
      <x:c r="E69" s="5"/>
      <x:c r="F69" s="5"/>
      <x:c r="G69" s="5"/>
      <x:c r="H69" s="5"/>
      <x:c r="I69" s="5"/>
      <x:c r="J69" s="5"/>
      <x:c r="K69" s="5"/>
      <x:c r="L69" s="5"/>
      <x:c r="M69" s="3"/>
      <x:c r="N69" s="78"/>
    </x:row>
    <x:row r="70" ht="21" customHeight="1">
      <x:c r="A70" s="3"/>
      <x:c r="B70" s="3"/>
      <x:c r="C70" s="5"/>
      <x:c r="D70" s="5"/>
      <x:c r="E70" s="5"/>
      <x:c r="F70" s="5"/>
      <x:c r="G70" s="5"/>
      <x:c r="H70" s="5"/>
      <x:c r="I70" s="5"/>
      <x:c r="J70" s="5"/>
      <x:c r="K70" s="5"/>
      <x:c r="L70" s="5"/>
      <x:c r="M70" s="3"/>
      <x:c r="N70" s="78"/>
    </x:row>
    <x:row r="71" ht="21" customHeight="1">
      <x:c r="A71" s="3"/>
      <x:c r="B71" s="3"/>
      <x:c r="C71" s="5"/>
      <x:c r="D71" s="5"/>
      <x:c r="E71" s="5"/>
      <x:c r="F71" s="5"/>
      <x:c r="G71" s="5"/>
      <x:c r="H71" s="5"/>
      <x:c r="I71" s="5"/>
      <x:c r="J71" s="5"/>
      <x:c r="K71" s="5"/>
      <x:c r="L71" s="5"/>
      <x:c r="M71" s="3"/>
      <x:c r="N71" s="78"/>
    </x:row>
    <x:row r="72" ht="21" customHeight="1">
      <x:c r="A72" s="3"/>
      <x:c r="B72" s="3"/>
      <x:c r="C72" s="5"/>
      <x:c r="D72" s="5"/>
      <x:c r="E72" s="5"/>
      <x:c r="F72" s="5"/>
      <x:c r="G72" s="5"/>
      <x:c r="H72" s="5"/>
      <x:c r="I72" s="5"/>
      <x:c r="J72" s="5"/>
      <x:c r="K72" s="5"/>
      <x:c r="L72" s="5"/>
      <x:c r="M72" s="3"/>
      <x:c r="N72" s="78"/>
    </x:row>
    <x:row r="73" ht="21" customHeight="1">
      <x:c r="A73" s="3"/>
      <x:c r="B73" s="3"/>
      <x:c r="C73" s="5"/>
      <x:c r="D73" s="5"/>
      <x:c r="E73" s="5"/>
      <x:c r="F73" s="5"/>
      <x:c r="G73" s="5"/>
      <x:c r="H73" s="5"/>
      <x:c r="I73" s="5"/>
      <x:c r="J73" s="5"/>
      <x:c r="K73" s="5"/>
      <x:c r="L73" s="5"/>
      <x:c r="M73" s="3"/>
      <x:c r="N73" s="78"/>
    </x:row>
    <x:row r="74" ht="21" customHeight="1">
      <x:c r="A74" s="3"/>
      <x:c r="B74" s="3"/>
      <x:c r="C74" s="5"/>
      <x:c r="D74" s="5"/>
      <x:c r="E74" s="5"/>
      <x:c r="F74" s="5"/>
      <x:c r="G74" s="5"/>
      <x:c r="H74" s="5"/>
      <x:c r="I74" s="5"/>
      <x:c r="J74" s="5"/>
      <x:c r="K74" s="5"/>
      <x:c r="L74" s="5"/>
      <x:c r="M74" s="3"/>
      <x:c r="N74" s="78"/>
    </x:row>
    <x:row r="75" ht="21" customHeight="1">
      <x:c r="A75" s="3"/>
      <x:c r="B75" s="3"/>
      <x:c r="C75" s="5"/>
      <x:c r="D75" s="5"/>
      <x:c r="E75" s="5"/>
      <x:c r="F75" s="5"/>
      <x:c r="G75" s="5"/>
      <x:c r="H75" s="5"/>
      <x:c r="I75" s="5"/>
      <x:c r="J75" s="5"/>
      <x:c r="K75" s="5"/>
      <x:c r="L75" s="5"/>
      <x:c r="M75" s="3"/>
      <x:c r="N75" s="78"/>
    </x:row>
    <x:row r="76" ht="21" customHeight="1">
      <x:c r="A76" s="3"/>
      <x:c r="B76" s="3"/>
      <x:c r="C76" s="5"/>
      <x:c r="D76" s="5"/>
      <x:c r="E76" s="5"/>
      <x:c r="F76" s="5"/>
      <x:c r="G76" s="5"/>
      <x:c r="H76" s="5"/>
      <x:c r="I76" s="5"/>
      <x:c r="J76" s="5"/>
      <x:c r="K76" s="5"/>
      <x:c r="L76" s="5"/>
      <x:c r="M76" s="3"/>
      <x:c r="N76" s="78"/>
    </x:row>
    <x:row r="77" ht="21" customHeight="1">
      <x:c r="A77" s="3"/>
      <x:c r="B77" s="3"/>
      <x:c r="C77" s="5"/>
      <x:c r="D77" s="5"/>
      <x:c r="E77" s="5"/>
      <x:c r="F77" s="5"/>
      <x:c r="G77" s="5"/>
      <x:c r="H77" s="5"/>
      <x:c r="I77" s="5"/>
      <x:c r="J77" s="5"/>
      <x:c r="K77" s="5"/>
      <x:c r="L77" s="5"/>
      <x:c r="M77" s="3"/>
      <x:c r="N77" s="78"/>
    </x:row>
    <x:row r="78" ht="21" customHeight="1">
      <x:c r="A78" s="3"/>
      <x:c r="B78" s="3"/>
      <x:c r="C78" s="5"/>
      <x:c r="D78" s="5"/>
      <x:c r="E78" s="5"/>
      <x:c r="F78" s="5"/>
      <x:c r="G78" s="5"/>
      <x:c r="H78" s="5"/>
      <x:c r="I78" s="5"/>
      <x:c r="J78" s="5"/>
      <x:c r="K78" s="5"/>
      <x:c r="L78" s="5"/>
      <x:c r="M78" s="3"/>
      <x:c r="N78" s="78"/>
    </x:row>
    <x:row r="79" ht="21" customHeight="1">
      <x:c r="A79" s="3"/>
      <x:c r="B79" s="3"/>
      <x:c r="C79" s="5"/>
      <x:c r="D79" s="5"/>
      <x:c r="E79" s="5"/>
      <x:c r="F79" s="5"/>
      <x:c r="G79" s="5"/>
      <x:c r="H79" s="5"/>
      <x:c r="I79" s="5"/>
      <x:c r="J79" s="5"/>
      <x:c r="K79" s="5"/>
      <x:c r="L79" s="5"/>
      <x:c r="M79" s="3"/>
      <x:c r="N79" s="78"/>
    </x:row>
    <x:row r="80" ht="21" customHeight="1">
      <x:c r="A80" s="3"/>
      <x:c r="B80" s="3"/>
      <x:c r="C80" s="5"/>
      <x:c r="D80" s="5"/>
      <x:c r="E80" s="5"/>
      <x:c r="F80" s="5"/>
      <x:c r="G80" s="5"/>
      <x:c r="H80" s="5"/>
      <x:c r="I80" s="5"/>
      <x:c r="J80" s="5"/>
      <x:c r="K80" s="5"/>
      <x:c r="L80" s="5"/>
      <x:c r="M80" s="3"/>
      <x:c r="N80" s="78"/>
    </x:row>
    <x:row r="81" ht="21" customHeight="1">
      <x:c r="A81" s="3"/>
      <x:c r="B81" s="3"/>
      <x:c r="C81" s="5"/>
      <x:c r="D81" s="5"/>
      <x:c r="E81" s="5"/>
      <x:c r="F81" s="5"/>
      <x:c r="G81" s="5"/>
      <x:c r="H81" s="5"/>
      <x:c r="I81" s="5"/>
      <x:c r="J81" s="5"/>
      <x:c r="K81" s="5"/>
      <x:c r="L81" s="5"/>
      <x:c r="M81" s="3"/>
      <x:c r="N81" s="78"/>
    </x:row>
    <x:row r="82" ht="21" customHeight="1">
      <x:c r="A82" s="3"/>
      <x:c r="B82" s="3"/>
      <x:c r="C82" s="5"/>
      <x:c r="D82" s="5"/>
      <x:c r="E82" s="5"/>
      <x:c r="F82" s="5"/>
      <x:c r="G82" s="5"/>
      <x:c r="H82" s="5"/>
      <x:c r="I82" s="5"/>
      <x:c r="J82" s="5"/>
      <x:c r="K82" s="5"/>
      <x:c r="L82" s="5"/>
      <x:c r="M82" s="3"/>
      <x:c r="N82" s="78"/>
    </x:row>
    <x:row r="83" ht="21" customHeight="1">
      <x:c r="A83" s="3"/>
      <x:c r="B83" s="3"/>
      <x:c r="C83" s="5"/>
      <x:c r="D83" s="5"/>
      <x:c r="E83" s="5"/>
      <x:c r="F83" s="5"/>
      <x:c r="G83" s="5"/>
      <x:c r="H83" s="5"/>
      <x:c r="I83" s="5"/>
      <x:c r="J83" s="5"/>
      <x:c r="K83" s="5"/>
      <x:c r="L83" s="5"/>
      <x:c r="M83" s="3"/>
      <x:c r="N83" s="78"/>
    </x:row>
    <x:row r="84" ht="21" customHeight="1">
      <x:c r="A84" s="3"/>
      <x:c r="B84" s="3"/>
      <x:c r="C84" s="5"/>
      <x:c r="D84" s="5"/>
      <x:c r="E84" s="5"/>
      <x:c r="F84" s="5"/>
      <x:c r="G84" s="5"/>
      <x:c r="H84" s="5"/>
      <x:c r="I84" s="5"/>
      <x:c r="J84" s="5"/>
      <x:c r="K84" s="5"/>
      <x:c r="L84" s="5"/>
      <x:c r="M84" s="3"/>
      <x:c r="N84" s="78"/>
    </x:row>
    <x:row r="85" ht="21" customHeight="1">
      <x:c r="A85" s="3"/>
      <x:c r="B85" s="3"/>
      <x:c r="C85" s="5"/>
      <x:c r="D85" s="5"/>
      <x:c r="E85" s="5"/>
      <x:c r="F85" s="5"/>
      <x:c r="G85" s="5"/>
      <x:c r="H85" s="5"/>
      <x:c r="I85" s="5"/>
      <x:c r="J85" s="5"/>
      <x:c r="K85" s="5"/>
      <x:c r="L85" s="5"/>
      <x:c r="M85" s="3"/>
      <x:c r="N85" s="78"/>
    </x:row>
    <x:row r="86" ht="21" customHeight="1">
      <x:c r="A86" s="3"/>
      <x:c r="B86" s="3"/>
      <x:c r="C86" s="5"/>
      <x:c r="D86" s="5"/>
      <x:c r="E86" s="5"/>
      <x:c r="F86" s="5"/>
      <x:c r="G86" s="5"/>
      <x:c r="H86" s="5"/>
      <x:c r="I86" s="5"/>
      <x:c r="J86" s="5"/>
      <x:c r="K86" s="5"/>
      <x:c r="L86" s="5"/>
      <x:c r="M86" s="3"/>
      <x:c r="N86" s="78"/>
    </x:row>
    <x:row r="87" ht="21" customHeight="1">
      <x:c r="A87" s="3"/>
      <x:c r="B87" s="3"/>
      <x:c r="C87" s="5"/>
      <x:c r="D87" s="5"/>
      <x:c r="E87" s="5"/>
      <x:c r="F87" s="5"/>
      <x:c r="G87" s="5"/>
      <x:c r="H87" s="5"/>
      <x:c r="I87" s="5"/>
      <x:c r="J87" s="5"/>
      <x:c r="K87" s="5"/>
      <x:c r="L87" s="5"/>
      <x:c r="M87" s="3"/>
      <x:c r="N87" s="78"/>
    </x:row>
    <x:row r="88" ht="21" customHeight="1">
      <x:c r="A88" s="3"/>
      <x:c r="B88" s="3"/>
      <x:c r="C88" s="5"/>
      <x:c r="D88" s="5"/>
      <x:c r="E88" s="5"/>
      <x:c r="F88" s="5"/>
      <x:c r="G88" s="5"/>
      <x:c r="H88" s="5"/>
      <x:c r="I88" s="5"/>
      <x:c r="J88" s="5"/>
      <x:c r="K88" s="5"/>
      <x:c r="L88" s="5"/>
      <x:c r="M88" s="3"/>
      <x:c r="N88" s="78"/>
    </x:row>
    <x:row r="89" ht="21" customHeight="1">
      <x:c r="A89" s="3"/>
      <x:c r="B89" s="3"/>
      <x:c r="C89" s="5"/>
      <x:c r="D89" s="5"/>
      <x:c r="E89" s="5"/>
      <x:c r="F89" s="5"/>
      <x:c r="G89" s="5"/>
      <x:c r="H89" s="5"/>
      <x:c r="I89" s="5"/>
      <x:c r="J89" s="5"/>
      <x:c r="K89" s="5"/>
      <x:c r="L89" s="5"/>
      <x:c r="M89" s="3"/>
      <x:c r="N89" s="78"/>
    </x:row>
    <x:row r="90" ht="21" customHeight="1">
      <x:c r="A90" s="3"/>
      <x:c r="B90" s="3"/>
      <x:c r="C90" s="5"/>
      <x:c r="D90" s="5"/>
      <x:c r="E90" s="5"/>
      <x:c r="F90" s="5"/>
      <x:c r="G90" s="5"/>
      <x:c r="H90" s="5"/>
      <x:c r="I90" s="5"/>
      <x:c r="J90" s="5"/>
      <x:c r="K90" s="5"/>
      <x:c r="L90" s="5"/>
      <x:c r="M90" s="3"/>
      <x:c r="N90" s="78"/>
    </x:row>
    <x:row r="91" ht="21" customHeight="1">
      <x:c r="A91" s="3"/>
      <x:c r="B91" s="3"/>
      <x:c r="C91" s="5"/>
      <x:c r="D91" s="5"/>
      <x:c r="E91" s="5"/>
      <x:c r="F91" s="5"/>
      <x:c r="G91" s="5"/>
      <x:c r="H91" s="5"/>
      <x:c r="I91" s="5"/>
      <x:c r="J91" s="5"/>
      <x:c r="K91" s="5"/>
      <x:c r="L91" s="5"/>
      <x:c r="M91" s="3"/>
      <x:c r="N91" s="78"/>
    </x:row>
    <x:row r="92" ht="21" customHeight="1">
      <x:c r="A92" s="3"/>
      <x:c r="B92" s="3"/>
      <x:c r="C92" s="5"/>
      <x:c r="D92" s="5"/>
      <x:c r="E92" s="5"/>
      <x:c r="F92" s="5"/>
      <x:c r="G92" s="5"/>
      <x:c r="H92" s="5"/>
      <x:c r="I92" s="5"/>
      <x:c r="J92" s="5"/>
      <x:c r="K92" s="5"/>
      <x:c r="L92" s="5"/>
      <x:c r="M92" s="3"/>
      <x:c r="N92" s="78"/>
    </x:row>
    <x:row r="93" ht="21" customHeight="1">
      <x:c r="A93" s="3"/>
      <x:c r="B93" s="3"/>
      <x:c r="C93" s="5"/>
      <x:c r="D93" s="5"/>
      <x:c r="E93" s="5"/>
      <x:c r="F93" s="5"/>
      <x:c r="G93" s="5"/>
      <x:c r="H93" s="5"/>
      <x:c r="I93" s="5"/>
      <x:c r="J93" s="5"/>
      <x:c r="K93" s="5"/>
      <x:c r="L93" s="5"/>
      <x:c r="M93" s="3"/>
      <x:c r="N93" s="78"/>
    </x:row>
    <x:row r="94" ht="21" customHeight="1">
      <x:c r="A94" s="3"/>
      <x:c r="B94" s="3"/>
      <x:c r="C94" s="5"/>
      <x:c r="D94" s="5"/>
      <x:c r="E94" s="5"/>
      <x:c r="F94" s="5"/>
      <x:c r="G94" s="5"/>
      <x:c r="H94" s="5"/>
      <x:c r="I94" s="5"/>
      <x:c r="J94" s="5"/>
      <x:c r="K94" s="5"/>
      <x:c r="L94" s="5"/>
      <x:c r="M94" s="3"/>
      <x:c r="N94" s="78"/>
    </x:row>
    <x:row r="95" ht="21" customHeight="1">
      <x:c r="A95" s="3"/>
      <x:c r="B95" s="3"/>
      <x:c r="C95" s="5"/>
      <x:c r="D95" s="5"/>
      <x:c r="E95" s="5"/>
      <x:c r="F95" s="5"/>
      <x:c r="G95" s="5"/>
      <x:c r="H95" s="5"/>
      <x:c r="I95" s="5"/>
      <x:c r="J95" s="5"/>
      <x:c r="K95" s="5"/>
      <x:c r="L95" s="5"/>
      <x:c r="M95" s="3"/>
      <x:c r="N95" s="78"/>
    </x:row>
    <x:row r="96" ht="21" customHeight="1">
      <x:c r="A96" s="3"/>
      <x:c r="B96" s="3"/>
      <x:c r="C96" s="5"/>
      <x:c r="D96" s="5"/>
      <x:c r="E96" s="5"/>
      <x:c r="F96" s="5"/>
      <x:c r="G96" s="5"/>
      <x:c r="H96" s="5"/>
      <x:c r="I96" s="5"/>
      <x:c r="J96" s="5"/>
      <x:c r="K96" s="5"/>
      <x:c r="L96" s="5"/>
      <x:c r="M96" s="3"/>
      <x:c r="N96" s="78"/>
    </x:row>
    <x:row r="97" ht="21" customHeight="1">
      <x:c r="A97" s="3"/>
      <x:c r="B97" s="3"/>
      <x:c r="C97" s="5"/>
      <x:c r="D97" s="5"/>
      <x:c r="E97" s="5"/>
      <x:c r="F97" s="5"/>
      <x:c r="G97" s="5"/>
      <x:c r="H97" s="5"/>
      <x:c r="I97" s="5"/>
      <x:c r="J97" s="5"/>
      <x:c r="K97" s="5"/>
      <x:c r="L97" s="5"/>
      <x:c r="M97" s="3"/>
      <x:c r="N97" s="78"/>
    </x:row>
    <x:row r="98" ht="21" customHeight="1">
      <x:c r="A98" s="3"/>
      <x:c r="B98" s="3"/>
      <x:c r="C98" s="5"/>
      <x:c r="D98" s="5"/>
      <x:c r="E98" s="5"/>
      <x:c r="F98" s="5"/>
      <x:c r="G98" s="5"/>
      <x:c r="H98" s="5"/>
      <x:c r="I98" s="5"/>
      <x:c r="J98" s="5"/>
      <x:c r="K98" s="5"/>
      <x:c r="L98" s="5"/>
      <x:c r="M98" s="3"/>
      <x:c r="N98" s="78"/>
    </x:row>
    <x:row r="99" ht="21" customHeight="1">
      <x:c r="A99" s="3"/>
      <x:c r="B99" s="3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3"/>
      <x:c r="N99" s="78"/>
    </x:row>
    <x:row r="100" ht="21" customHeight="1">
      <x:c r="A100" s="3"/>
      <x:c r="B100" s="3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3"/>
      <x:c r="N100" s="78"/>
    </x:row>
  </x:sheetData>
  <x:pageMargins left="0.7" right="0.7" top="0.75" bottom="0.75" header="0.3" footer="0.3"/>
  <x:drawing xmlns:r="http://schemas.openxmlformats.org/officeDocument/2006/relationships" r:id="R5fe1ddf48c524efd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3" hidden="0" customWidth="1"/>
    <x:col min="14" max="14" width="58" hidden="0" customWidth="1"/>
  </x:cols>
  <x:sheetData>
    <x:row r="1" ht="21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78"/>
    </x:row>
    <x:row r="2" ht="21" customHeight="1">
      <x:c r="A2" s="8" t="str">
        <x:v>Forecast Assumptions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78"/>
    </x:row>
    <x:row r="3" ht="21" customHeight="1">
      <x:c r="A3" s="6" t="str">
        <x:v>Case: 1 Base, 2 Upside, 3 Downside</x:v>
      </x:c>
      <x:c r="B3" s="3"/>
      <x:c r="C3" s="29" t="n">
        <x:v>1</x:v>
      </x:c>
      <x:c r="D3" s="3"/>
      <x:c r="E3" s="3" t="str">
        <x:f>CHOOSE(C3,"Base","Upside","Downside")</x:f>
        <x:v>Base</x:v>
      </x:c>
      <x:c r="F3" s="3"/>
      <x:c r="G3" s="3"/>
      <x:c r="H3" s="3"/>
      <x:c r="I3" s="3"/>
      <x:c r="J3" s="3"/>
      <x:c r="K3" s="3"/>
      <x:c r="L3" s="3"/>
      <x:c r="M3" s="3"/>
      <x:c r="N3" s="78"/>
    </x:row>
    <x:row r="4" ht="21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78"/>
    </x:row>
    <x:row r="5" ht="21" customHeight="1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78"/>
    </x:row>
    <x:row r="6" ht="24" customHeight="1">
      <x:c r="A6" s="18" t="str">
        <x:v>Core-business growth</x:v>
      </x:c>
      <x:c r="B6" s="18"/>
      <x:c r="C6" s="19"/>
      <x:c r="D6" s="19"/>
      <x:c r="E6" s="19"/>
      <x:c r="F6" s="19"/>
      <x:c r="G6" s="19"/>
      <x:c r="H6" s="19"/>
      <x:c r="I6" s="47"/>
      <x:c r="J6" s="47"/>
      <x:c r="K6" s="19"/>
      <x:c r="L6" s="19"/>
      <x:c r="M6" s="3"/>
      <x:c r="N6" s="79" t="str">
        <x:v>Forecast rates are analyst assumptions. Management outlook</x:v>
      </x:c>
    </x:row>
    <x:row r="7" ht="21" customHeight="1">
      <x:c r="A7" s="3"/>
      <x:c r="B7" s="3"/>
      <x:c r="C7" s="27" t="str">
        <x:v>FY27</x:v>
      </x:c>
      <x:c r="D7" s="27" t="str">
        <x:v>FY31</x:v>
      </x:c>
      <x:c r="E7" s="5"/>
      <x:c r="F7" s="5"/>
      <x:c r="G7" s="5"/>
      <x:c r="H7" s="5"/>
      <x:c r="I7" s="48"/>
      <x:c r="J7" s="48"/>
      <x:c r="K7" s="5"/>
      <x:c r="L7" s="5"/>
      <x:c r="M7" s="3"/>
      <x:c r="N7" s="79" t="str">
        <x:v>is identified below.</x:v>
      </x:c>
    </x:row>
    <x:row r="8" ht="21" customHeight="1">
      <x:c r="A8" s="33" t="str">
        <x:v>Active</x:v>
      </x:c>
      <x:c r="B8" s="34"/>
      <x:c r="C8" s="36" t="n">
        <x:f>IF(CHOOSE($C$3,ISNUMBER(C9),ISNUMBER(C10),ISNUMBER(C11)),CHOOSE($C$3,C9,C10,C11),"n.a.")</x:f>
        <x:v>0.12</x:v>
      </x:c>
      <x:c r="D8" s="36" t="n">
        <x:f>IF(CHOOSE($C$3,ISNUMBER(D9),ISNUMBER(D10),ISNUMBER(D11)),CHOOSE($C$3,D9,D10,D11),"n.a.")</x:f>
        <x:v>0.07</x:v>
      </x:c>
      <x:c r="E8" s="35"/>
      <x:c r="F8" s="35"/>
      <x:c r="G8" s="35"/>
      <x:c r="H8" s="5"/>
      <x:c r="I8" s="49" t="str">
        <x:v>WACC</x:v>
      </x:c>
      <x:c r="J8" s="48"/>
      <x:c r="K8" s="37" t="n">
        <x:v>0.125</x:v>
      </x:c>
      <x:c r="L8" s="5"/>
      <x:c r="M8" s="3"/>
      <x:c r="N8" s="78"/>
    </x:row>
    <x:row r="9" ht="21" customHeight="1">
      <x:c r="A9" s="6" t="str">
        <x:v>Base</x:v>
      </x:c>
      <x:c r="B9" s="3"/>
      <x:c r="C9" s="37" t="n">
        <x:v>0.12</x:v>
      </x:c>
      <x:c r="D9" s="37" t="n">
        <x:v>0.07</x:v>
      </x:c>
      <x:c r="E9" s="5"/>
      <x:c r="F9" s="5"/>
      <x:c r="G9" s="5"/>
      <x:c r="H9" s="5"/>
      <x:c r="I9" s="49" t="str">
        <x:v>Terminal growth</x:v>
      </x:c>
      <x:c r="J9" s="48"/>
      <x:c r="K9" s="37" t="n">
        <x:v>0.04</x:v>
      </x:c>
      <x:c r="L9" s="5"/>
      <x:c r="M9" s="3"/>
      <x:c r="N9" s="78"/>
    </x:row>
    <x:row r="10" ht="21" customHeight="1">
      <x:c r="A10" s="6" t="str">
        <x:v>Upside</x:v>
      </x:c>
      <x:c r="B10" s="3"/>
      <x:c r="C10" s="37" t="n">
        <x:v>0.14</x:v>
      </x:c>
      <x:c r="D10" s="37" t="n">
        <x:v>0.08</x:v>
      </x:c>
      <x:c r="E10" s="5"/>
      <x:c r="F10" s="5"/>
      <x:c r="G10" s="5"/>
      <x:c r="H10" s="5"/>
      <x:c r="I10" s="49" t="str">
        <x:v>Terminal ROIC</x:v>
      </x:c>
      <x:c r="J10" s="48"/>
      <x:c r="K10" s="37" t="n">
        <x:v>0.12</x:v>
      </x:c>
      <x:c r="L10" s="5"/>
      <x:c r="M10" s="3"/>
      <x:c r="N10" s="78"/>
    </x:row>
    <x:row r="11" ht="21" customHeight="1">
      <x:c r="A11" s="6" t="str">
        <x:v>Downside</x:v>
      </x:c>
      <x:c r="B11" s="3"/>
      <x:c r="C11" s="37" t="n">
        <x:v>0.08</x:v>
      </x:c>
      <x:c r="D11" s="37" t="n">
        <x:v>0.05</x:v>
      </x:c>
      <x:c r="E11" s="5"/>
      <x:c r="F11" s="5"/>
      <x:c r="G11" s="5"/>
      <x:c r="H11" s="5"/>
      <x:c r="I11" s="48"/>
      <x:c r="J11" s="48"/>
      <x:c r="K11" s="5"/>
      <x:c r="L11" s="5"/>
      <x:c r="M11" s="3"/>
      <x:c r="N11" s="78"/>
    </x:row>
    <x:row r="12" ht="21" customHeight="1">
      <x:c r="A12" s="3"/>
      <x:c r="B12" s="3"/>
      <x:c r="C12" s="5"/>
      <x:c r="D12" s="5"/>
      <x:c r="E12" s="5"/>
      <x:c r="F12" s="5"/>
      <x:c r="G12" s="5"/>
      <x:c r="H12" s="5"/>
      <x:c r="I12" s="48"/>
      <x:c r="J12" s="48"/>
      <x:c r="K12" s="5"/>
      <x:c r="L12" s="5"/>
      <x:c r="M12" s="3"/>
      <x:c r="N12" s="78"/>
    </x:row>
    <x:row r="13" ht="24" customHeight="1">
      <x:c r="A13" s="18" t="str">
        <x:v>Plastics growth</x:v>
      </x:c>
      <x:c r="B13" s="18"/>
      <x:c r="C13" s="19"/>
      <x:c r="D13" s="19"/>
      <x:c r="E13" s="19"/>
      <x:c r="F13" s="19"/>
      <x:c r="G13" s="19"/>
      <x:c r="H13" s="19"/>
      <x:c r="I13" s="47"/>
      <x:c r="J13" s="47"/>
      <x:c r="K13" s="19"/>
      <x:c r="L13" s="19"/>
      <x:c r="M13" s="3"/>
      <x:c r="N13" s="79" t="str">
        <x:v>Management commentary: August 2026 capex plan is</x:v>
      </x:c>
    </x:row>
    <x:row r="14" ht="21" customHeight="1">
      <x:c r="A14" s="3"/>
      <x:c r="B14" s="3"/>
      <x:c r="C14" s="27" t="str">
        <x:v>FY27</x:v>
      </x:c>
      <x:c r="D14" s="27" t="str">
        <x:v>FY28–31</x:v>
      </x:c>
      <x:c r="E14" s="5"/>
      <x:c r="F14" s="5"/>
      <x:c r="G14" s="5"/>
      <x:c r="H14" s="5"/>
      <x:c r="I14" s="48"/>
      <x:c r="J14" s="48"/>
      <x:c r="K14" s="5"/>
      <x:c r="L14" s="5"/>
      <x:c r="M14" s="3"/>
      <x:c r="N14" s="79" t="str">
        <x:v>approximately ₹700 crore over 18–24 months, including about</x:v>
      </x:c>
    </x:row>
    <x:row r="15" ht="21" customHeight="1">
      <x:c r="A15" s="33" t="str">
        <x:v>Active</x:v>
      </x:c>
      <x:c r="B15" s="34"/>
      <x:c r="C15" s="36" t="n">
        <x:f>IF(CHOOSE($C$3,ISNUMBER(C16),ISNUMBER(C17),ISNUMBER(C18)),CHOOSE($C$3,C16,C17,C18),"n.a.")</x:f>
        <x:v>0.15</x:v>
      </x:c>
      <x:c r="D15" s="36" t="n">
        <x:f>IF(CHOOSE($C$3,ISNUMBER(D16),ISNUMBER(D17),ISNUMBER(D18)),CHOOSE($C$3,D16,D17,D18),"n.a.")</x:f>
        <x:v>0.18</x:v>
      </x:c>
      <x:c r="E15" s="35"/>
      <x:c r="F15" s="35"/>
      <x:c r="G15" s="35"/>
      <x:c r="H15" s="5"/>
      <x:c r="I15" s="49" t="str">
        <x:v>Reference share price</x:v>
      </x:c>
      <x:c r="J15" s="48"/>
      <x:c r="K15" s="42" t="n">
        <x:v>756.5</x:v>
      </x:c>
      <x:c r="L15" s="5"/>
      <x:c r="M15" s="3"/>
      <x:c r="N15" s="79" t="str">
        <x:v>₹400 crore for polymers. The equal two-year split is a model</x:v>
      </x:c>
    </x:row>
    <x:row r="16" ht="21" customHeight="1">
      <x:c r="A16" s="6" t="str">
        <x:v>Base</x:v>
      </x:c>
      <x:c r="B16" s="3"/>
      <x:c r="C16" s="37" t="n">
        <x:v>0.15</x:v>
      </x:c>
      <x:c r="D16" s="37" t="n">
        <x:v>0.18</x:v>
      </x:c>
      <x:c r="E16" s="5"/>
      <x:c r="F16" s="5"/>
      <x:c r="G16" s="5"/>
      <x:c r="H16" s="5"/>
      <x:c r="I16" s="48"/>
      <x:c r="J16" s="48"/>
      <x:c r="K16" s="5"/>
      <x:c r="L16" s="5"/>
      <x:c r="M16" s="3"/>
      <x:c r="N16" s="79" t="str">
        <x:v>assumption.</x:v>
      </x:c>
    </x:row>
    <x:row r="17" ht="21" customHeight="1">
      <x:c r="A17" s="6" t="str">
        <x:v>Upside</x:v>
      </x:c>
      <x:c r="B17" s="3"/>
      <x:c r="C17" s="37" t="n">
        <x:v>0.2</x:v>
      </x:c>
      <x:c r="D17" s="37" t="n">
        <x:v>0.22</x:v>
      </x:c>
      <x:c r="E17" s="5"/>
      <x:c r="F17" s="5"/>
      <x:c r="G17" s="5"/>
      <x:c r="H17" s="5"/>
      <x:c r="I17" s="49" t="str">
        <x:v>Valuation date</x:v>
      </x:c>
      <x:c r="J17" s="48"/>
      <x:c r="K17" s="43" t="n">
        <x:v>46286</x:v>
      </x:c>
      <x:c r="L17" s="5"/>
      <x:c r="M17" s="3"/>
      <x:c r="N17" s="78"/>
    </x:row>
    <x:row r="18" ht="21" customHeight="1">
      <x:c r="A18" s="6" t="str">
        <x:v>Downside</x:v>
      </x:c>
      <x:c r="B18" s="3"/>
      <x:c r="C18" s="37" t="n">
        <x:v>0.05</x:v>
      </x:c>
      <x:c r="D18" s="37" t="n">
        <x:v>0.13</x:v>
      </x:c>
      <x:c r="E18" s="5"/>
      <x:c r="F18" s="5"/>
      <x:c r="G18" s="5"/>
      <x:c r="H18" s="5"/>
      <x:c r="I18" s="49" t="str">
        <x:v>Review date</x:v>
      </x:c>
      <x:c r="J18" s="48"/>
      <x:c r="K18" s="43" t="n">
        <x:v>46308</x:v>
      </x:c>
      <x:c r="L18" s="5"/>
      <x:c r="M18" s="3"/>
      <x:c r="N18" s="78"/>
    </x:row>
    <x:row r="19" ht="21" customHeight="1">
      <x:c r="A19" s="3"/>
      <x:c r="B19" s="3"/>
      <x:c r="C19" s="5"/>
      <x:c r="D19" s="5"/>
      <x:c r="E19" s="5"/>
      <x:c r="F19" s="5"/>
      <x:c r="G19" s="5"/>
      <x:c r="H19" s="5"/>
      <x:c r="I19" s="48"/>
      <x:c r="J19" s="48"/>
      <x:c r="K19" s="5"/>
      <x:c r="L19" s="5"/>
      <x:c r="M19" s="3"/>
      <x:c r="N19" s="78"/>
    </x:row>
    <x:row r="20" ht="24" customHeight="1">
      <x:c r="A20" s="18" t="str">
        <x:v>Operating EBITDA margin</x:v>
      </x:c>
      <x:c r="B20" s="18"/>
      <x:c r="C20" s="19"/>
      <x:c r="D20" s="19"/>
      <x:c r="E20" s="19"/>
      <x:c r="F20" s="19"/>
      <x:c r="G20" s="19"/>
      <x:c r="H20" s="19"/>
      <x:c r="I20" s="50" t="str">
        <x:v>FY2029 P/E comparison</x:v>
      </x:c>
      <x:c r="J20" s="47"/>
      <x:c r="K20" s="46" t="n">
        <x:v>24</x:v>
      </x:c>
      <x:c r="L20" s="19"/>
      <x:c r="M20" s="3"/>
      <x:c r="N20" s="79" t="str">
        <x:v>Management commentary: Q1 FY2027 polymer revenue was</x:v>
      </x:c>
    </x:row>
    <x:row r="21" ht="21" customHeight="1">
      <x:c r="A21" s="3"/>
      <x:c r="B21" s="3"/>
      <x:c r="C21" s="27" t="str">
        <x:v>FY27</x:v>
      </x:c>
      <x:c r="D21" s="27" t="str">
        <x:v>FY31</x:v>
      </x:c>
      <x:c r="E21" s="5"/>
      <x:c r="F21" s="5"/>
      <x:c r="G21" s="5"/>
      <x:c r="H21" s="5"/>
      <x:c r="I21" s="48"/>
      <x:c r="J21" s="48"/>
      <x:c r="K21" s="5"/>
      <x:c r="L21" s="5"/>
      <x:c r="M21" s="3"/>
      <x:c r="N21" s="79" t="str">
        <x:v>approximately ₹249 crore. Management expects healthier</x:v>
      </x:c>
    </x:row>
    <x:row r="22" ht="21" customHeight="1">
      <x:c r="A22" s="33" t="str">
        <x:v>Active</x:v>
      </x:c>
      <x:c r="B22" s="34"/>
      <x:c r="C22" s="36" t="n">
        <x:f>IF(CHOOSE($C$3,ISNUMBER(C23),ISNUMBER(C24),ISNUMBER(C25)),CHOOSE($C$3,C23,C24,C25),"n.a.")</x:f>
        <x:v>0.113</x:v>
      </x:c>
      <x:c r="D22" s="36" t="n">
        <x:f>IF(CHOOSE($C$3,ISNUMBER(D23),ISNUMBER(D24),ISNUMBER(D25)),CHOOSE($C$3,D23,D24,D25),"n.a.")</x:f>
        <x:v>0.118</x:v>
      </x:c>
      <x:c r="E22" s="35"/>
      <x:c r="F22" s="35"/>
      <x:c r="G22" s="35"/>
      <x:c r="H22" s="5"/>
      <x:c r="I22" s="48"/>
      <x:c r="J22" s="48"/>
      <x:c r="K22" s="5"/>
      <x:c r="L22" s="5"/>
      <x:c r="M22" s="3"/>
      <x:c r="N22" s="79" t="str">
        <x:v>subsequent quarters and about 20% growth after capacity</x:v>
      </x:c>
    </x:row>
    <x:row r="23" ht="21" customHeight="1">
      <x:c r="A23" s="6" t="str">
        <x:v>Base</x:v>
      </x:c>
      <x:c r="B23" s="3"/>
      <x:c r="C23" s="37" t="n">
        <x:v>0.113</x:v>
      </x:c>
      <x:c r="D23" s="37" t="n">
        <x:v>0.118</x:v>
      </x:c>
      <x:c r="E23" s="5"/>
      <x:c r="F23" s="5"/>
      <x:c r="G23" s="5"/>
      <x:c r="H23" s="5"/>
      <x:c r="I23" s="49" t="str">
        <x:v>Polymer capacity FY2027</x:v>
      </x:c>
      <x:c r="J23" s="48"/>
      <x:c r="K23" s="7" t="n">
        <x:v>1000</x:v>
      </x:c>
      <x:c r="L23" s="5"/>
      <x:c r="M23" s="3"/>
      <x:c r="N23" s="79" t="str">
        <x:v>expansion.</x:v>
      </x:c>
    </x:row>
    <x:row r="24" ht="21" customHeight="1">
      <x:c r="A24" s="6" t="str">
        <x:v>Upside</x:v>
      </x:c>
      <x:c r="B24" s="3"/>
      <x:c r="C24" s="37" t="n">
        <x:v>0.118</x:v>
      </x:c>
      <x:c r="D24" s="37" t="n">
        <x:v>0.125</x:v>
      </x:c>
      <x:c r="E24" s="5"/>
      <x:c r="F24" s="5"/>
      <x:c r="G24" s="5"/>
      <x:c r="H24" s="5"/>
      <x:c r="I24" s="49" t="str">
        <x:v>Polymer capacity FY2028+</x:v>
      </x:c>
      <x:c r="J24" s="48"/>
      <x:c r="K24" s="7" t="n">
        <x:v>2000</x:v>
      </x:c>
      <x:c r="L24" s="5"/>
      <x:c r="M24" s="3"/>
      <x:c r="N24" s="78"/>
    </x:row>
    <x:row r="25" ht="21" customHeight="1">
      <x:c r="A25" s="6" t="str">
        <x:v>Downside</x:v>
      </x:c>
      <x:c r="B25" s="3"/>
      <x:c r="C25" s="37" t="n">
        <x:v>0.103</x:v>
      </x:c>
      <x:c r="D25" s="37" t="n">
        <x:v>0.108</x:v>
      </x:c>
      <x:c r="E25" s="5"/>
      <x:c r="F25" s="5"/>
      <x:c r="G25" s="5"/>
      <x:c r="H25" s="5"/>
      <x:c r="I25" s="48"/>
      <x:c r="J25" s="48"/>
      <x:c r="K25" s="5"/>
      <x:c r="L25" s="5"/>
      <x:c r="M25" s="3"/>
      <x:c r="N25" s="78"/>
    </x:row>
    <x:row r="26" ht="21" customHeight="1">
      <x:c r="A26" s="3"/>
      <x:c r="B26" s="3"/>
      <x:c r="C26" s="5"/>
      <x:c r="D26" s="5"/>
      <x:c r="E26" s="5"/>
      <x:c r="F26" s="5"/>
      <x:c r="G26" s="5"/>
      <x:c r="H26" s="5"/>
      <x:c r="I26" s="48"/>
      <x:c r="J26" s="48"/>
      <x:c r="K26" s="5"/>
      <x:c r="L26" s="5"/>
      <x:c r="M26" s="3"/>
      <x:c r="N26" s="78"/>
    </x:row>
    <x:row r="27" ht="24" customHeight="1">
      <x:c r="A27" s="18" t="str">
        <x:v>Working capital</x:v>
      </x:c>
      <x:c r="B27" s="18"/>
      <x:c r="C27" s="19"/>
      <x:c r="D27" s="19"/>
      <x:c r="E27" s="19"/>
      <x:c r="F27" s="19"/>
      <x:c r="G27" s="19"/>
      <x:c r="H27" s="19"/>
      <x:c r="I27" s="47"/>
      <x:c r="J27" s="47"/>
      <x:c r="K27" s="19"/>
      <x:c r="L27" s="19"/>
      <x:c r="M27" s="3"/>
      <x:c r="N27" s="79" t="str">
        <x:v>Management commentary: polymer turnover capacity is</x:v>
      </x:c>
    </x:row>
    <x:row r="28" ht="21" customHeight="1">
      <x:c r="A28" s="3"/>
      <x:c r="B28" s="3"/>
      <x:c r="C28" s="27" t="str">
        <x:v>NWC / revenue</x:v>
      </x:c>
      <x:c r="D28"/>
      <x:c r="E28"/>
      <x:c r="F28" s="5"/>
      <x:c r="G28" s="5"/>
      <x:c r="H28" s="5"/>
      <x:c r="I28" s="48"/>
      <x:c r="J28" s="48"/>
      <x:c r="K28" s="5"/>
      <x:c r="L28" s="5"/>
      <x:c r="M28" s="3"/>
      <x:c r="N28" s="79" t="str">
        <x:v>approximately ₹1,000 crore currently and ₹2,000 crore after</x:v>
      </x:c>
    </x:row>
    <x:row r="29" ht="21" customHeight="1">
      <x:c r="A29" s="33" t="str">
        <x:v>Active</x:v>
      </x:c>
      <x:c r="B29" s="34"/>
      <x:c r="C29" s="36" t="n">
        <x:f>IF(CHOOSE($C$3,ISNUMBER(C30),ISNUMBER(C31),ISNUMBER(C32)),CHOOSE($C$3,C30,C31,C32),"n.a.")</x:f>
        <x:v>0.145</x:v>
      </x:c>
      <x:c r="D29"/>
      <x:c r="E29"/>
      <x:c r="F29" s="35"/>
      <x:c r="G29" s="35"/>
      <x:c r="H29" s="5"/>
      <x:c r="I29" s="48"/>
      <x:c r="J29" s="48"/>
      <x:c r="K29" s="5"/>
      <x:c r="L29" s="5"/>
      <x:c r="M29" s="3"/>
      <x:c r="N29" s="79" t="str">
        <x:v>expansion from FY2028. Capacity is not guaranteed sales.</x:v>
      </x:c>
    </x:row>
    <x:row r="30" ht="21" customHeight="1">
      <x:c r="A30" s="6" t="str">
        <x:v>Base</x:v>
      </x:c>
      <x:c r="B30" s="3"/>
      <x:c r="C30" s="37" t="n">
        <x:v>0.145</x:v>
      </x:c>
      <x:c r="D30"/>
      <x:c r="E30"/>
      <x:c r="F30" s="5"/>
      <x:c r="G30" s="5"/>
      <x:c r="H30" s="5"/>
      <x:c r="I30" s="48"/>
      <x:c r="J30" s="48"/>
      <x:c r="K30" s="5"/>
      <x:c r="L30" s="5"/>
      <x:c r="M30" s="3"/>
      <x:c r="N30" s="78"/>
    </x:row>
    <x:row r="31" ht="21" customHeight="1">
      <x:c r="A31" s="6" t="str">
        <x:v>Upside</x:v>
      </x:c>
      <x:c r="B31" s="3"/>
      <x:c r="C31" s="37" t="n">
        <x:v>0.13</x:v>
      </x:c>
      <x:c r="D31"/>
      <x:c r="E31"/>
      <x:c r="F31" s="5"/>
      <x:c r="G31" s="5"/>
      <x:c r="H31" s="5"/>
      <x:c r="I31" s="48"/>
      <x:c r="J31" s="48"/>
      <x:c r="K31" s="5"/>
      <x:c r="L31" s="5"/>
      <x:c r="M31" s="3"/>
      <x:c r="N31" s="78"/>
    </x:row>
    <x:row r="32" ht="21" customHeight="1">
      <x:c r="A32" s="6" t="str">
        <x:v>Downside</x:v>
      </x:c>
      <x:c r="B32" s="3"/>
      <x:c r="C32" s="37" t="n">
        <x:v>0.17</x:v>
      </x:c>
      <x:c r="D32"/>
      <x:c r="E32"/>
      <x:c r="F32" s="5"/>
      <x:c r="G32" s="5"/>
      <x:c r="H32" s="5"/>
      <x:c r="I32" s="48"/>
      <x:c r="J32" s="48"/>
      <x:c r="K32" s="5"/>
      <x:c r="L32" s="5"/>
      <x:c r="M32" s="3"/>
      <x:c r="N32" s="78"/>
    </x:row>
    <x:row r="33" ht="21" customHeight="1">
      <x:c r="A33" s="3"/>
      <x:c r="B33" s="3"/>
      <x:c r="C33" s="5"/>
      <x:c r="D33" s="5"/>
      <x:c r="E33" s="5"/>
      <x:c r="F33" s="5"/>
      <x:c r="G33" s="5"/>
      <x:c r="H33" s="5"/>
      <x:c r="I33" s="48"/>
      <x:c r="J33" s="48"/>
      <x:c r="K33" s="5"/>
      <x:c r="L33" s="5"/>
      <x:c r="M33" s="3"/>
      <x:c r="N33" s="78"/>
    </x:row>
    <x:row r="34" ht="24" customHeight="1">
      <x:c r="A34" s="18" t="str">
        <x:v>Capital expenditure</x:v>
      </x:c>
      <x:c r="B34" s="18"/>
      <x:c r="C34" s="19"/>
      <x:c r="D34" s="19"/>
      <x:c r="E34" s="19"/>
      <x:c r="F34" s="19"/>
      <x:c r="G34" s="19"/>
      <x:c r="H34" s="19"/>
      <x:c r="I34" s="47"/>
      <x:c r="J34" s="47"/>
      <x:c r="K34" s="19"/>
      <x:c r="L34" s="19"/>
      <x:c r="M34" s="3"/>
      <x:c r="N34" s="78"/>
    </x:row>
    <x:row r="35" ht="21" customHeight="1">
      <x:c r="A35" s="3"/>
      <x:c r="B35" s="3"/>
      <x:c r="C35" s="27" t="str">
        <x:v>FY27–28 ₹cr</x:v>
      </x:c>
      <x:c r="D35" s="27" t="str">
        <x:v>FY29–31 / sales</x:v>
      </x:c>
      <x:c r="E35" s="5"/>
      <x:c r="F35" s="5"/>
      <x:c r="G35" s="5"/>
      <x:c r="H35" s="5"/>
      <x:c r="I35" s="48"/>
      <x:c r="J35" s="48"/>
      <x:c r="K35" s="5"/>
      <x:c r="L35" s="5"/>
      <x:c r="M35" s="3"/>
      <x:c r="N35" s="79" t="str">
        <x:v>Net working capital = inventory + trade receivables − trade</x:v>
      </x:c>
    </x:row>
    <x:row r="36" ht="21" customHeight="1">
      <x:c r="A36" s="33" t="str">
        <x:v>Active</x:v>
      </x:c>
      <x:c r="B36" s="34"/>
      <x:c r="C36" s="35" t="n">
        <x:f>IF(CHOOSE($C$3,ISNUMBER(C37),ISNUMBER(C38),ISNUMBER(C39)),CHOOSE($C$3,C37,C38,C39),"n.a.")</x:f>
        <x:v>700</x:v>
      </x:c>
      <x:c r="D36" s="36" t="n">
        <x:f>IF(CHOOSE($C$3,ISNUMBER(D37),ISNUMBER(D38),ISNUMBER(D39)),CHOOSE($C$3,D37,D38,D39),"n.a.")</x:f>
        <x:v>0.05</x:v>
      </x:c>
      <x:c r="E36" s="35"/>
      <x:c r="F36" s="35"/>
      <x:c r="G36" s="35"/>
      <x:c r="H36" s="5"/>
      <x:c r="I36" s="48"/>
      <x:c r="J36" s="48"/>
      <x:c r="K36" s="5"/>
      <x:c r="L36" s="5"/>
      <x:c r="M36" s="3"/>
      <x:c r="N36" s="79" t="str">
        <x:v>payables. One sales ratio drives the total; FY2026</x:v>
      </x:c>
    </x:row>
    <x:row r="37" ht="21" customHeight="1">
      <x:c r="A37" s="6" t="str">
        <x:v>Base</x:v>
      </x:c>
      <x:c r="B37" s="3"/>
      <x:c r="C37" s="7" t="n">
        <x:v>700</x:v>
      </x:c>
      <x:c r="D37" s="37" t="n">
        <x:v>0.05</x:v>
      </x:c>
      <x:c r="E37" s="5"/>
      <x:c r="F37" s="5"/>
      <x:c r="G37" s="5"/>
      <x:c r="H37" s="5"/>
      <x:c r="I37" s="48"/>
      <x:c r="J37" s="48"/>
      <x:c r="K37" s="5"/>
      <x:c r="L37" s="5"/>
      <x:c r="M37" s="3"/>
      <x:c r="N37" s="79" t="str">
        <x:v>proportions allocate it across the three accounts.</x:v>
      </x:c>
    </x:row>
    <x:row r="38" ht="21" customHeight="1">
      <x:c r="A38" s="6" t="str">
        <x:v>Upside</x:v>
      </x:c>
      <x:c r="B38" s="3"/>
      <x:c r="C38" s="7" t="n">
        <x:v>770</x:v>
      </x:c>
      <x:c r="D38" s="37" t="n">
        <x:v>0.055</x:v>
      </x:c>
      <x:c r="E38" s="5"/>
      <x:c r="F38" s="5"/>
      <x:c r="G38" s="5"/>
      <x:c r="H38" s="5"/>
      <x:c r="I38" s="48"/>
      <x:c r="J38" s="48"/>
      <x:c r="K38" s="5"/>
      <x:c r="L38" s="5"/>
      <x:c r="M38" s="3"/>
      <x:c r="N38" s="78"/>
    </x:row>
    <x:row r="39" ht="21" customHeight="1">
      <x:c r="A39" s="6" t="str">
        <x:v>Downside</x:v>
      </x:c>
      <x:c r="B39" s="3"/>
      <x:c r="C39" s="7" t="n">
        <x:v>630</x:v>
      </x:c>
      <x:c r="D39" s="37" t="n">
        <x:v>0.048</x:v>
      </x:c>
      <x:c r="E39" s="5"/>
      <x:c r="F39" s="5"/>
      <x:c r="G39" s="5"/>
      <x:c r="H39" s="5"/>
      <x:c r="I39" s="48"/>
      <x:c r="J39" s="48"/>
      <x:c r="K39" s="5"/>
      <x:c r="L39" s="5"/>
      <x:c r="M39" s="3"/>
      <x:c r="N39" s="78"/>
    </x:row>
    <x:row r="40" ht="21" customHeight="1">
      <x:c r="A40" s="3"/>
      <x:c r="B40" s="3"/>
      <x:c r="C40" s="5"/>
      <x:c r="D40" s="5"/>
      <x:c r="E40" s="5"/>
      <x:c r="F40" s="5"/>
      <x:c r="G40" s="5"/>
      <x:c r="H40" s="5"/>
      <x:c r="I40" s="5"/>
      <x:c r="J40" s="5"/>
      <x:c r="K40" s="5"/>
      <x:c r="L40" s="5"/>
      <x:c r="M40" s="3"/>
      <x:c r="N40" s="78"/>
    </x:row>
    <x:row r="41" ht="21" customHeight="1">
      <x:c r="A41" s="3"/>
      <x:c r="B41" s="3"/>
      <x:c r="C41" s="5"/>
      <x:c r="D41" s="5"/>
      <x:c r="E41" s="5"/>
      <x:c r="F41" s="5"/>
      <x:c r="G41" s="5"/>
      <x:c r="H41" s="5"/>
      <x:c r="I41" s="5"/>
      <x:c r="J41" s="5"/>
      <x:c r="K41" s="5"/>
      <x:c r="L41" s="5"/>
      <x:c r="M41" s="3"/>
      <x:c r="N41" s="78"/>
    </x:row>
    <x:row r="42" ht="24" customHeight="1">
      <x:c r="A42" s="18" t="str">
        <x:v>Supporting accounting assumptions</x:v>
      </x:c>
      <x:c r="B42" s="18"/>
      <x:c r="C42" s="19"/>
      <x:c r="D42" s="19"/>
      <x:c r="E42" s="19"/>
      <x:c r="F42" s="19"/>
      <x:c r="G42" s="19"/>
      <x:c r="H42" s="19"/>
      <x:c r="I42" s="19"/>
      <x:c r="J42" s="19"/>
      <x:c r="K42" s="19"/>
      <x:c r="L42" s="19"/>
      <x:c r="M42" s="3"/>
      <x:c r="N42" s="78"/>
    </x:row>
    <x:row r="43" ht="21" customHeight="1">
      <x:c r="A43" s="3"/>
      <x:c r="B43" s="3"/>
      <x:c r="C43" s="5"/>
      <x:c r="D43" s="5"/>
      <x:c r="E43" s="5"/>
      <x:c r="F43" s="5"/>
      <x:c r="G43" s="5"/>
      <x:c r="H43" s="5"/>
      <x:c r="I43" s="5"/>
      <x:c r="J43" s="5"/>
      <x:c r="K43" s="5"/>
      <x:c r="L43" s="5"/>
      <x:c r="M43" s="3"/>
      <x:c r="N43" s="78"/>
    </x:row>
    <x:row r="44" ht="21" customHeight="1">
      <x:c r="A44" s="6" t="str">
        <x:v>Normalized tax rate</x:v>
      </x:c>
      <x:c r="B44" s="3"/>
      <x:c r="C44" s="38" t="n">
        <x:f>'10_Historical'!$G$139</x:f>
        <x:v>0.25168</x:v>
      </x:c>
      <x:c r="D44" s="5"/>
      <x:c r="E44" s="5"/>
      <x:c r="F44" s="5"/>
      <x:c r="G44" s="5"/>
      <x:c r="H44" s="5"/>
      <x:c r="I44" s="5"/>
      <x:c r="J44" s="5"/>
      <x:c r="K44" s="5"/>
      <x:c r="L44" s="5"/>
      <x:c r="M44" s="3"/>
      <x:c r="N44" s="79" t="str">
        <x:v>Stable inputs retain depreciation, leases, tax and financing</x:v>
      </x:c>
    </x:row>
    <x:row r="45" ht="21" customHeight="1">
      <x:c r="A45" s="6" t="str">
        <x:v>Other income / revenue</x:v>
      </x:c>
      <x:c r="B45" s="3"/>
      <x:c r="C45" s="37" t="n">
        <x:v>0.0025</x:v>
      </x:c>
      <x:c r="D45" s="5"/>
      <x:c r="E45" s="5"/>
      <x:c r="F45" s="5"/>
      <x:c r="G45" s="5"/>
      <x:c r="H45" s="5"/>
      <x:c r="I45" s="5"/>
      <x:c r="J45" s="5"/>
      <x:c r="K45" s="5"/>
      <x:c r="L45" s="5"/>
      <x:c r="M45" s="3"/>
      <x:c r="N45" s="79" t="str">
        <x:v>mechanics. The 24x FY2029 P/E benchmark comes from Axis,</x:v>
      </x:c>
    </x:row>
    <x:row r="46" ht="21" customHeight="1">
      <x:c r="A46" s="6" t="str">
        <x:v>PPE depreciation rate</x:v>
      </x:c>
      <x:c r="B46" s="3"/>
      <x:c r="C46" s="37" t="n">
        <x:v>0.09</x:v>
      </x:c>
      <x:c r="D46" s="5"/>
      <x:c r="E46" s="5"/>
      <x:c r="F46" s="5"/>
      <x:c r="G46" s="5"/>
      <x:c r="H46" s="5"/>
      <x:c r="I46" s="5"/>
      <x:c r="J46" s="5"/>
      <x:c r="K46" s="5"/>
      <x:c r="L46" s="5"/>
      <x:c r="M46" s="3"/>
      <x:c r="N46" s="79" t="str">
        <x:v>September 2026; it is an analyst valuation, not management</x:v>
      </x:c>
    </x:row>
    <x:row r="47" ht="21" customHeight="1">
      <x:c r="A47" s="6" t="str">
        <x:v>Scheduled annual debt repayment</x:v>
      </x:c>
      <x:c r="B47" s="3"/>
      <x:c r="C47" s="7" t="n">
        <x:v>20</x:v>
      </x:c>
      <x:c r="D47" s="5"/>
      <x:c r="E47" s="5"/>
      <x:c r="F47" s="5"/>
      <x:c r="G47" s="5"/>
      <x:c r="H47" s="5"/>
      <x:c r="I47" s="5"/>
      <x:c r="J47" s="5"/>
      <x:c r="K47" s="5"/>
      <x:c r="L47" s="5"/>
      <x:c r="M47" s="3"/>
      <x:c r="N47" s="79" t="str">
        <x:v>guidance.</x:v>
      </x:c>
    </x:row>
    <x:row r="48" ht="21" customHeight="1">
      <x:c r="A48" s="6" t="str">
        <x:v>Minimum cash / revenue</x:v>
      </x:c>
      <x:c r="B48" s="3"/>
      <x:c r="C48" s="37" t="n">
        <x:v>0.02</x:v>
      </x:c>
      <x:c r="D48" s="5"/>
      <x:c r="E48" s="5"/>
      <x:c r="F48" s="5"/>
      <x:c r="G48" s="5"/>
      <x:c r="H48" s="5"/>
      <x:c r="I48" s="5"/>
      <x:c r="J48" s="5"/>
      <x:c r="K48" s="5"/>
      <x:c r="L48" s="5"/>
      <x:c r="M48" s="3"/>
      <x:c r="N48" s="78"/>
    </x:row>
    <x:row r="49" ht="21" customHeight="1">
      <x:c r="A49" s="6" t="str">
        <x:v>Borrowing interest rate</x:v>
      </x:c>
      <x:c r="B49" s="3"/>
      <x:c r="C49" s="37" t="n">
        <x:v>0.085</x:v>
      </x:c>
      <x:c r="D49" s="5"/>
      <x:c r="E49" s="5"/>
      <x:c r="F49" s="5"/>
      <x:c r="G49" s="5"/>
      <x:c r="H49" s="5"/>
      <x:c r="I49" s="5"/>
      <x:c r="J49" s="5"/>
      <x:c r="K49" s="5"/>
      <x:c r="L49" s="5"/>
      <x:c r="M49" s="3"/>
      <x:c r="N49" s="78"/>
    </x:row>
    <x:row r="50" ht="21" customHeight="1">
      <x:c r="A50" s="6" t="str">
        <x:v>Annual lease additions</x:v>
      </x:c>
      <x:c r="B50" s="3"/>
      <x:c r="C50" s="7" t="n">
        <x:v>8</x:v>
      </x:c>
      <x:c r="D50" s="5"/>
      <x:c r="E50" s="5"/>
      <x:c r="F50" s="5"/>
      <x:c r="G50" s="5"/>
      <x:c r="H50" s="5"/>
      <x:c r="I50" s="5"/>
      <x:c r="J50" s="5"/>
      <x:c r="K50" s="5"/>
      <x:c r="L50" s="5"/>
      <x:c r="M50" s="3"/>
      <x:c r="N50" s="78"/>
    </x:row>
    <x:row r="51" ht="21" customHeight="1">
      <x:c r="A51" s="6" t="str">
        <x:v>Annual lease principal</x:v>
      </x:c>
      <x:c r="B51" s="3"/>
      <x:c r="C51" s="7" t="n">
        <x:v>7</x:v>
      </x:c>
      <x:c r="D51" s="5"/>
      <x:c r="E51" s="5"/>
      <x:c r="F51" s="5"/>
      <x:c r="G51" s="5"/>
      <x:c r="H51" s="5"/>
      <x:c r="I51" s="5"/>
      <x:c r="J51" s="5"/>
      <x:c r="K51" s="5"/>
      <x:c r="L51" s="5"/>
      <x:c r="M51" s="3"/>
      <x:c r="N51" s="78"/>
    </x:row>
    <x:row r="52" ht="21" customHeight="1">
      <x:c r="A52" s="6" t="str">
        <x:v>Lease interest rate</x:v>
      </x:c>
      <x:c r="B52" s="3"/>
      <x:c r="C52" s="37" t="n">
        <x:v>0.06</x:v>
      </x:c>
      <x:c r="D52" s="5"/>
      <x:c r="E52" s="5"/>
      <x:c r="F52" s="5"/>
      <x:c r="G52" s="5"/>
      <x:c r="H52" s="5"/>
      <x:c r="I52" s="5"/>
      <x:c r="J52" s="5"/>
      <x:c r="K52" s="5"/>
      <x:c r="L52" s="5"/>
      <x:c r="M52" s="3"/>
      <x:c r="N52" s="78"/>
    </x:row>
    <x:row r="53" ht="21" customHeight="1">
      <x:c r="A53" s="6" t="str">
        <x:v>Dividend payout ratio</x:v>
      </x:c>
      <x:c r="B53" s="3"/>
      <x:c r="C53" s="37" t="n">
        <x:v>0.1</x:v>
      </x:c>
      <x:c r="D53" s="5"/>
      <x:c r="E53" s="5"/>
      <x:c r="F53" s="5"/>
      <x:c r="G53" s="5"/>
      <x:c r="H53" s="5"/>
      <x:c r="I53" s="5"/>
      <x:c r="J53" s="5"/>
      <x:c r="K53" s="5"/>
      <x:c r="L53" s="5"/>
      <x:c r="M53" s="3"/>
      <x:c r="N53" s="78"/>
    </x:row>
    <x:row r="54" ht="21" customHeight="1">
      <x:c r="A54" s="6" t="str">
        <x:v>New capex allocated to CWIP</x:v>
      </x:c>
      <x:c r="B54" s="3"/>
      <x:c r="C54" s="37" t="n">
        <x:v>0.2</x:v>
      </x:c>
      <x:c r="D54" s="5"/>
      <x:c r="E54" s="5"/>
      <x:c r="F54" s="5"/>
      <x:c r="G54" s="5"/>
      <x:c r="H54" s="5"/>
      <x:c r="I54" s="5"/>
      <x:c r="J54" s="5"/>
      <x:c r="K54" s="5"/>
      <x:c r="L54" s="5"/>
      <x:c r="M54" s="3"/>
      <x:c r="N54" s="78"/>
    </x:row>
    <x:row r="55" ht="21" customHeight="1">
      <x:c r="A55" s="6" t="str">
        <x:v>Opening CWIP commissioned annually</x:v>
      </x:c>
      <x:c r="B55" s="3"/>
      <x:c r="C55" s="37" t="n">
        <x:v>0.5</x:v>
      </x:c>
      <x:c r="D55" s="5"/>
      <x:c r="E55" s="5"/>
      <x:c r="F55" s="5"/>
      <x:c r="G55" s="5"/>
      <x:c r="H55" s="5"/>
      <x:c r="I55" s="5"/>
      <x:c r="J55" s="5"/>
      <x:c r="K55" s="5"/>
      <x:c r="L55" s="5"/>
      <x:c r="M55" s="3"/>
      <x:c r="N55" s="78"/>
    </x:row>
    <x:row r="56" ht="21" customHeight="1">
      <x:c r="A56" s="6" t="str">
        <x:v>Intangible amortization rate</x:v>
      </x:c>
      <x:c r="B56" s="3"/>
      <x:c r="C56" s="37" t="n">
        <x:v>0.2</x:v>
      </x:c>
      <x:c r="D56" s="5"/>
      <x:c r="E56" s="5"/>
      <x:c r="F56" s="5"/>
      <x:c r="G56" s="5"/>
      <x:c r="H56" s="5"/>
      <x:c r="I56" s="5"/>
      <x:c r="J56" s="5"/>
      <x:c r="K56" s="5"/>
      <x:c r="L56" s="5"/>
      <x:c r="M56" s="3"/>
      <x:c r="N56" s="78"/>
    </x:row>
    <x:row r="57" ht="21" customHeight="1">
      <x:c r="A57" s="6" t="str">
        <x:v>Interest income / other income</x:v>
      </x:c>
      <x:c r="B57" s="3"/>
      <x:c r="C57" s="38" t="n">
        <x:f>'10_Historical'!$G$110/'10_Historical'!$G$9</x:f>
        <x:v>0.28694900605012963</x:v>
      </x:c>
      <x:c r="D57" s="5"/>
      <x:c r="E57" s="5"/>
      <x:c r="F57" s="5"/>
      <x:c r="G57" s="5"/>
      <x:c r="H57" s="5"/>
      <x:c r="I57" s="5"/>
      <x:c r="J57" s="5"/>
      <x:c r="K57" s="5"/>
      <x:c r="L57" s="5"/>
      <x:c r="M57" s="3"/>
      <x:c r="N57" s="79" t="str">
        <x:v>FY2026 polymer revenue is rebased by the ₹65 crore exited</x:v>
      </x:c>
    </x:row>
    <x:row r="58" ht="21" customHeight="1">
      <x:c r="A58" s="6" t="str">
        <x:v>FY2026 plastics revenue</x:v>
      </x:c>
      <x:c r="B58" s="3"/>
      <x:c r="C58" s="7" t="n">
        <x:v>924</x:v>
      </x:c>
      <x:c r="D58" s="5"/>
      <x:c r="E58" s="5"/>
      <x:c r="F58" s="5"/>
      <x:c r="G58" s="5"/>
      <x:c r="H58" s="5"/>
      <x:c r="I58" s="5"/>
      <x:c r="J58" s="5"/>
      <x:c r="K58" s="5"/>
      <x:c r="L58" s="5"/>
      <x:c r="M58" s="3"/>
      <x:c r="N58" s="79" t="str">
        <x:v>foaming business. Revenue is capped at the disclosed</x:v>
      </x:c>
    </x:row>
    <x:row r="59" ht="21" customHeight="1">
      <x:c r="A59" s="6" t="str">
        <x:v>Exited foaming revenue</x:v>
      </x:c>
      <x:c r="B59" s="3"/>
      <x:c r="C59" s="7" t="n">
        <x:v>65</x:v>
      </x:c>
      <x:c r="D59" s="5"/>
      <x:c r="E59" s="5"/>
      <x:c r="F59" s="5"/>
      <x:c r="G59" s="5"/>
      <x:c r="H59" s="5"/>
      <x:c r="I59" s="5"/>
      <x:c r="J59" s="5"/>
      <x:c r="K59" s="5"/>
      <x:c r="L59" s="5"/>
      <x:c r="M59" s="3"/>
      <x:c r="N59" s="79" t="str">
        <x:v>turnover capacity.</x:v>
      </x:c>
    </x:row>
    <x:row r="60" ht="21" customHeight="1">
      <x:c r="A60" s="6" t="str">
        <x:v>Annual ROU depreciation</x:v>
      </x:c>
      <x:c r="B60" s="3"/>
      <x:c r="C60" s="7" t="n">
        <x:v>6</x:v>
      </x:c>
      <x:c r="D60" s="5"/>
      <x:c r="E60" s="5"/>
      <x:c r="F60" s="5"/>
      <x:c r="G60" s="5"/>
      <x:c r="H60" s="5"/>
      <x:c r="I60" s="5"/>
      <x:c r="J60" s="5"/>
      <x:c r="K60" s="5"/>
      <x:c r="L60" s="5"/>
      <x:c r="M60" s="3"/>
      <x:c r="N60" s="78"/>
    </x:row>
    <x:row r="61" ht="21" customHeight="1">
      <x:c r="A61" s="6" t="str">
        <x:v>Annual legacy goodwill amortization</x:v>
      </x:c>
      <x:c r="B61" s="3"/>
      <x:c r="C61" s="7" t="n">
        <x:v>9.93</x:v>
      </x:c>
      <x:c r="D61" s="5"/>
      <x:c r="E61" s="5"/>
      <x:c r="F61" s="5"/>
      <x:c r="G61" s="5"/>
      <x:c r="H61" s="5"/>
      <x:c r="I61" s="5"/>
      <x:c r="J61" s="5"/>
      <x:c r="K61" s="5"/>
      <x:c r="L61" s="5"/>
      <x:c r="M61" s="3"/>
      <x:c r="N61" s="78"/>
    </x:row>
    <x:row r="62" ht="21" customHeight="1">
      <x:c r="A62" s="6" t="str">
        <x:v>Acquired goodwill floor</x:v>
      </x:c>
      <x:c r="B62" s="3"/>
      <x:c r="C62" s="7" t="n">
        <x:v>2.05</x:v>
      </x:c>
      <x:c r="D62" s="5"/>
      <x:c r="E62" s="5"/>
      <x:c r="F62" s="5"/>
      <x:c r="G62" s="5"/>
      <x:c r="H62" s="5"/>
      <x:c r="I62" s="5"/>
      <x:c r="J62" s="5"/>
      <x:c r="K62" s="5"/>
      <x:c r="L62" s="5"/>
      <x:c r="M62" s="3"/>
      <x:c r="N62" s="78"/>
    </x:row>
    <x:row r="63" ht="21" customHeight="1">
      <x:c r="A63" s="3"/>
      <x:c r="B63" s="3"/>
      <x:c r="C63" s="5"/>
      <x:c r="D63" s="5"/>
      <x:c r="E63" s="5"/>
      <x:c r="F63" s="5"/>
      <x:c r="G63" s="5"/>
      <x:c r="H63" s="5"/>
      <x:c r="I63" s="5"/>
      <x:c r="J63" s="5"/>
      <x:c r="K63" s="5"/>
      <x:c r="L63" s="5"/>
      <x:c r="M63" s="3"/>
      <x:c r="N63" s="78"/>
    </x:row>
    <x:row r="64" ht="24" customHeight="1">
      <x:c r="A64" s="18" t="str">
        <x:v>Annual forecast inputs</x:v>
      </x:c>
      <x:c r="B64" s="18"/>
      <x:c r="C64" s="19"/>
      <x:c r="D64" s="19"/>
      <x:c r="E64" s="19"/>
      <x:c r="F64" s="19"/>
      <x:c r="G64" s="19"/>
      <x:c r="H64" s="19"/>
      <x:c r="I64" s="19"/>
      <x:c r="J64" s="19"/>
      <x:c r="K64" s="19"/>
      <x:c r="L64" s="19"/>
      <x:c r="M64" s="3"/>
      <x:c r="N64" s="78"/>
    </x:row>
    <x:row r="65" ht="21" customHeight="1">
      <x:c r="A65" s="3"/>
      <x:c r="B65" s="3"/>
      <x:c r="C65" s="5"/>
      <x:c r="D65" s="5"/>
      <x:c r="E65" s="5"/>
      <x:c r="F65" s="5"/>
      <x:c r="G65" s="5"/>
      <x:c r="H65" s="5"/>
      <x:c r="I65" s="5"/>
      <x:c r="J65" s="5"/>
      <x:c r="K65" s="5"/>
      <x:c r="L65" s="5"/>
      <x:c r="M65" s="3"/>
      <x:c r="N65" s="78"/>
    </x:row>
    <x:row r="66" ht="21" customHeight="1">
      <x:c r="A66" s="3"/>
      <x:c r="B66" s="3"/>
      <x:c r="C66" s="5"/>
      <x:c r="D66" s="5"/>
      <x:c r="E66" s="5"/>
      <x:c r="F66" s="5"/>
      <x:c r="G66" s="5"/>
      <x:c r="H66" s="40" t="str">
        <x:v>FY2027E</x:v>
      </x:c>
      <x:c r="I66" s="40" t="str">
        <x:v>FY2028E</x:v>
      </x:c>
      <x:c r="J66" s="40" t="str">
        <x:v>FY2029E</x:v>
      </x:c>
      <x:c r="K66" s="40" t="str">
        <x:v>FY2030E</x:v>
      </x:c>
      <x:c r="L66" s="40" t="str">
        <x:v>FY2031E</x:v>
      </x:c>
      <x:c r="M66" s="3"/>
      <x:c r="N66" s="78"/>
    </x:row>
    <x:row r="67" ht="21" customHeight="1">
      <x:c r="A67" s="3"/>
      <x:c r="B67" s="3"/>
      <x:c r="C67" s="5"/>
      <x:c r="D67" s="5"/>
      <x:c r="E67" s="5"/>
      <x:c r="F67" s="5"/>
      <x:c r="G67" s="5"/>
      <x:c r="H67" s="5"/>
      <x:c r="I67" s="5"/>
      <x:c r="J67" s="5"/>
      <x:c r="K67" s="5"/>
      <x:c r="L67" s="5"/>
      <x:c r="M67" s="3"/>
      <x:c r="N67" s="78"/>
    </x:row>
    <x:row r="68" ht="21" customHeight="1">
      <x:c r="A68" s="6" t="str">
        <x:v>Core-business revenue growth</x:v>
      </x:c>
      <x:c r="B68" s="3"/>
      <x:c r="C68" s="5"/>
      <x:c r="D68" s="5"/>
      <x:c r="E68" s="5"/>
      <x:c r="F68" s="5"/>
      <x:c r="G68" s="5"/>
      <x:c r="H68" s="24" t="n">
        <x:f>$C$8+($D$8-$C$8)*0/4</x:f>
        <x:v>0.12</x:v>
      </x:c>
      <x:c r="I68" s="24" t="n">
        <x:f>$C$8+($D$8-$C$8)*1/4</x:f>
        <x:v>0.1075</x:v>
      </x:c>
      <x:c r="J68" s="24" t="n">
        <x:f>$C$8+($D$8-$C$8)*2/4</x:f>
        <x:v>0.095</x:v>
      </x:c>
      <x:c r="K68" s="24" t="n">
        <x:f>$C$8+($D$8-$C$8)*3/4</x:f>
        <x:v>0.0825</x:v>
      </x:c>
      <x:c r="L68" s="24" t="n">
        <x:f>$C$8+($D$8-$C$8)*4/4</x:f>
        <x:v>0.07</x:v>
      </x:c>
      <x:c r="M68" s="3"/>
      <x:c r="N68" s="78"/>
    </x:row>
    <x:row r="69" ht="21" customHeight="1">
      <x:c r="A69" s="6" t="str">
        <x:v>Plastics revenue growth</x:v>
      </x:c>
      <x:c r="B69" s="3"/>
      <x:c r="C69" s="5"/>
      <x:c r="D69" s="5"/>
      <x:c r="E69" s="5"/>
      <x:c r="F69" s="5"/>
      <x:c r="G69" s="5"/>
      <x:c r="H69" s="24" t="n">
        <x:f>$C$15</x:f>
        <x:v>0.15</x:v>
      </x:c>
      <x:c r="I69" s="24" t="n">
        <x:f>$D$15</x:f>
        <x:v>0.18</x:v>
      </x:c>
      <x:c r="J69" s="24" t="n">
        <x:f>$D$15</x:f>
        <x:v>0.18</x:v>
      </x:c>
      <x:c r="K69" s="24" t="n">
        <x:f>$D$15</x:f>
        <x:v>0.18</x:v>
      </x:c>
      <x:c r="L69" s="24" t="n">
        <x:f>$D$15</x:f>
        <x:v>0.18</x:v>
      </x:c>
      <x:c r="M69" s="3"/>
      <x:c r="N69" s="78"/>
    </x:row>
    <x:row r="70" ht="21" customHeight="1">
      <x:c r="A70" s="6" t="str">
        <x:v>Operating EBITDA margin</x:v>
      </x:c>
      <x:c r="B70" s="3"/>
      <x:c r="C70" s="5"/>
      <x:c r="D70" s="5"/>
      <x:c r="E70" s="5"/>
      <x:c r="F70" s="5"/>
      <x:c r="G70" s="5"/>
      <x:c r="H70" s="24" t="n">
        <x:f>$C$22+($D$22-$C$22)*0/4</x:f>
        <x:v>0.113</x:v>
      </x:c>
      <x:c r="I70" s="24" t="n">
        <x:f>$C$22+($D$22-$C$22)*1/4</x:f>
        <x:v>0.11425</x:v>
      </x:c>
      <x:c r="J70" s="24" t="n">
        <x:f>$C$22+($D$22-$C$22)*2/4</x:f>
        <x:v>0.11549999999999999</x:v>
      </x:c>
      <x:c r="K70" s="24" t="n">
        <x:f>$C$22+($D$22-$C$22)*3/4</x:f>
        <x:v>0.11674999999999999</x:v>
      </x:c>
      <x:c r="L70" s="24" t="n">
        <x:f>$C$22+($D$22-$C$22)*4/4</x:f>
        <x:v>0.118</x:v>
      </x:c>
      <x:c r="M70" s="3"/>
      <x:c r="N70" s="78"/>
    </x:row>
    <x:row r="71" ht="21" customHeight="1">
      <x:c r="A71" s="6" t="str">
        <x:v>Net working capital / revenue</x:v>
      </x:c>
      <x:c r="B71" s="3"/>
      <x:c r="C71" s="5"/>
      <x:c r="D71" s="5"/>
      <x:c r="E71" s="5"/>
      <x:c r="F71" s="5"/>
      <x:c r="G71" s="5"/>
      <x:c r="H71" s="24" t="n">
        <x:f>$C$29</x:f>
        <x:v>0.145</x:v>
      </x:c>
      <x:c r="I71" s="24" t="n">
        <x:f>$C$29</x:f>
        <x:v>0.145</x:v>
      </x:c>
      <x:c r="J71" s="24" t="n">
        <x:f>$C$29</x:f>
        <x:v>0.145</x:v>
      </x:c>
      <x:c r="K71" s="24" t="n">
        <x:f>$C$29</x:f>
        <x:v>0.145</x:v>
      </x:c>
      <x:c r="L71" s="24" t="n">
        <x:f>$C$29</x:f>
        <x:v>0.145</x:v>
      </x:c>
      <x:c r="M71" s="3"/>
      <x:c r="N71" s="78"/>
    </x:row>
    <x:row r="72" ht="21" customHeight="1">
      <x:c r="A72"/>
      <x:c r="B72"/>
      <x:c r="C72"/>
      <x:c r="D72"/>
      <x:c r="E72"/>
      <x:c r="F72"/>
      <x:c r="G72"/>
      <x:c r="H72"/>
      <x:c r="I72"/>
      <x:c r="J72"/>
      <x:c r="K72"/>
      <x:c r="L72"/>
      <x:c r="M72" s="3"/>
      <x:c r="N72" s="78"/>
    </x:row>
    <x:row r="73" ht="21" customHeight="1">
      <x:c r="A73"/>
      <x:c r="B73"/>
      <x:c r="C73"/>
      <x:c r="D73"/>
      <x:c r="E73"/>
      <x:c r="F73"/>
      <x:c r="G73"/>
      <x:c r="H73"/>
      <x:c r="I73"/>
      <x:c r="J73"/>
      <x:c r="K73"/>
      <x:c r="L73"/>
      <x:c r="M73" s="3"/>
      <x:c r="N73" s="78"/>
    </x:row>
    <x:row r="74" ht="21" customHeight="1">
      <x:c r="A74" s="6" t="str">
        <x:v>Tax rate</x:v>
      </x:c>
      <x:c r="B74" s="3"/>
      <x:c r="C74" s="5"/>
      <x:c r="D74" s="5"/>
      <x:c r="E74" s="5"/>
      <x:c r="F74" s="5"/>
      <x:c r="G74" s="5"/>
      <x:c r="H74" s="24" t="n">
        <x:f>$C$44</x:f>
        <x:v>0.25168</x:v>
      </x:c>
      <x:c r="I74" s="24" t="n">
        <x:f>$C$44</x:f>
        <x:v>0.25168</x:v>
      </x:c>
      <x:c r="J74" s="24" t="n">
        <x:f>$C$44</x:f>
        <x:v>0.25168</x:v>
      </x:c>
      <x:c r="K74" s="24" t="n">
        <x:f>$C$44</x:f>
        <x:v>0.25168</x:v>
      </x:c>
      <x:c r="L74" s="24" t="n">
        <x:f>$C$44</x:f>
        <x:v>0.25168</x:v>
      </x:c>
      <x:c r="M74" s="3"/>
      <x:c r="N74" s="78"/>
    </x:row>
    <x:row r="75" ht="21" customHeight="1">
      <x:c r="A75" s="6" t="str">
        <x:v>Other income / revenue</x:v>
      </x:c>
      <x:c r="B75" s="3"/>
      <x:c r="C75" s="5"/>
      <x:c r="D75" s="5"/>
      <x:c r="E75" s="5"/>
      <x:c r="F75" s="5"/>
      <x:c r="G75" s="5"/>
      <x:c r="H75" s="24" t="n">
        <x:f>$C$45</x:f>
        <x:v>0.0025</x:v>
      </x:c>
      <x:c r="I75" s="24" t="n">
        <x:f>$C$45</x:f>
        <x:v>0.0025</x:v>
      </x:c>
      <x:c r="J75" s="24" t="n">
        <x:f>$C$45</x:f>
        <x:v>0.0025</x:v>
      </x:c>
      <x:c r="K75" s="24" t="n">
        <x:f>$C$45</x:f>
        <x:v>0.0025</x:v>
      </x:c>
      <x:c r="L75" s="24" t="n">
        <x:f>$C$45</x:f>
        <x:v>0.0025</x:v>
      </x:c>
      <x:c r="M75" s="3"/>
      <x:c r="N75" s="78"/>
    </x:row>
    <x:row r="76" ht="21" customHeight="1">
      <x:c r="A76" s="3"/>
      <x:c r="B76" s="3"/>
      <x:c r="C76" s="5"/>
      <x:c r="D76" s="5"/>
      <x:c r="E76" s="5"/>
      <x:c r="F76" s="5"/>
      <x:c r="G76" s="5"/>
      <x:c r="H76" s="5"/>
      <x:c r="I76" s="5"/>
      <x:c r="J76" s="5"/>
      <x:c r="K76" s="5"/>
      <x:c r="L76" s="5"/>
      <x:c r="M76" s="3"/>
      <x:c r="N76" s="78"/>
    </x:row>
    <x:row r="77" ht="21" customHeight="1">
      <x:c r="A77" s="3"/>
      <x:c r="B77" s="3"/>
      <x:c r="C77" s="5"/>
      <x:c r="D77" s="5"/>
      <x:c r="E77" s="5"/>
      <x:c r="F77" s="5"/>
      <x:c r="G77" s="5"/>
      <x:c r="H77" s="5"/>
      <x:c r="I77" s="5"/>
      <x:c r="J77" s="5"/>
      <x:c r="K77" s="5"/>
      <x:c r="L77" s="5"/>
      <x:c r="M77" s="3"/>
      <x:c r="N77" s="78"/>
    </x:row>
    <x:row r="78" ht="21" customHeight="1">
      <x:c r="A78" s="3"/>
      <x:c r="B78" s="3"/>
      <x:c r="C78" s="5"/>
      <x:c r="D78" s="5"/>
      <x:c r="E78" s="5"/>
      <x:c r="F78" s="5"/>
      <x:c r="G78" s="5"/>
      <x:c r="H78" s="5"/>
      <x:c r="I78" s="5"/>
      <x:c r="J78" s="5"/>
      <x:c r="K78" s="5"/>
      <x:c r="L78" s="5"/>
      <x:c r="M78" s="3"/>
      <x:c r="N78" s="78"/>
    </x:row>
    <x:row r="79" ht="21" customHeight="1">
      <x:c r="A79" s="6" t="str">
        <x:v>Capex / revenue · FY29 onward</x:v>
      </x:c>
      <x:c r="B79" s="3"/>
      <x:c r="C79" s="5"/>
      <x:c r="D79" s="5"/>
      <x:c r="E79" s="5"/>
      <x:c r="F79" s="5"/>
      <x:c r="G79" s="5"/>
      <x:c r="H79" s="24"/>
      <x:c r="I79" s="24"/>
      <x:c r="J79" s="24" t="n">
        <x:f>$D$36</x:f>
        <x:v>0.05</x:v>
      </x:c>
      <x:c r="K79" s="24" t="n">
        <x:f>$D$36</x:f>
        <x:v>0.05</x:v>
      </x:c>
      <x:c r="L79" s="24" t="n">
        <x:f>$D$36</x:f>
        <x:v>0.05</x:v>
      </x:c>
      <x:c r="M79" s="3"/>
      <x:c r="N79" s="78"/>
    </x:row>
    <x:row r="80" ht="21" customHeight="1">
      <x:c r="A80" s="6" t="str">
        <x:v>PPE depreciation rate</x:v>
      </x:c>
      <x:c r="B80" s="3"/>
      <x:c r="C80" s="5"/>
      <x:c r="D80" s="5"/>
      <x:c r="E80" s="5"/>
      <x:c r="F80" s="5"/>
      <x:c r="G80" s="5"/>
      <x:c r="H80" s="24" t="n">
        <x:f>$C$46</x:f>
        <x:v>0.09</x:v>
      </x:c>
      <x:c r="I80" s="24" t="n">
        <x:f>$C$46</x:f>
        <x:v>0.09</x:v>
      </x:c>
      <x:c r="J80" s="24" t="n">
        <x:f>$C$46</x:f>
        <x:v>0.09</x:v>
      </x:c>
      <x:c r="K80" s="24" t="n">
        <x:f>$C$46</x:f>
        <x:v>0.09</x:v>
      </x:c>
      <x:c r="L80" s="24" t="n">
        <x:f>$C$46</x:f>
        <x:v>0.09</x:v>
      </x:c>
      <x:c r="M80" s="3"/>
      <x:c r="N80" s="78"/>
    </x:row>
    <x:row r="81" ht="21" customHeight="1">
      <x:c r="A81" s="6" t="str">
        <x:v>Scheduled debt repayment</x:v>
      </x:c>
      <x:c r="B81" s="3"/>
      <x:c r="C81" s="5"/>
      <x:c r="D81" s="5"/>
      <x:c r="E81" s="5"/>
      <x:c r="F81" s="5"/>
      <x:c r="G81" s="5"/>
      <x:c r="H81" s="5" t="n">
        <x:f>$C$47</x:f>
        <x:v>20</x:v>
      </x:c>
      <x:c r="I81" s="5" t="n">
        <x:f>$C$47</x:f>
        <x:v>20</x:v>
      </x:c>
      <x:c r="J81" s="5" t="n">
        <x:f>$C$47</x:f>
        <x:v>20</x:v>
      </x:c>
      <x:c r="K81" s="5" t="n">
        <x:f>$C$47</x:f>
        <x:v>20</x:v>
      </x:c>
      <x:c r="L81" s="5" t="n">
        <x:f>$C$47</x:f>
        <x:v>20</x:v>
      </x:c>
      <x:c r="M81" s="3"/>
      <x:c r="N81" s="78"/>
    </x:row>
    <x:row r="82" ht="21" customHeight="1">
      <x:c r="A82" s="6" t="str">
        <x:v>Minimum cash / revenue</x:v>
      </x:c>
      <x:c r="B82" s="3"/>
      <x:c r="C82" s="5"/>
      <x:c r="D82" s="5"/>
      <x:c r="E82" s="5"/>
      <x:c r="F82" s="5"/>
      <x:c r="G82" s="5"/>
      <x:c r="H82" s="24" t="n">
        <x:f>$C$48</x:f>
        <x:v>0.02</x:v>
      </x:c>
      <x:c r="I82" s="24" t="n">
        <x:f>$C$48</x:f>
        <x:v>0.02</x:v>
      </x:c>
      <x:c r="J82" s="24" t="n">
        <x:f>$C$48</x:f>
        <x:v>0.02</x:v>
      </x:c>
      <x:c r="K82" s="24" t="n">
        <x:f>$C$48</x:f>
        <x:v>0.02</x:v>
      </x:c>
      <x:c r="L82" s="24" t="n">
        <x:f>$C$48</x:f>
        <x:v>0.02</x:v>
      </x:c>
      <x:c r="M82" s="3"/>
      <x:c r="N82" s="78"/>
    </x:row>
    <x:row r="83" ht="21" customHeight="1">
      <x:c r="A83" s="6" t="str">
        <x:v>Borrowing interest rate</x:v>
      </x:c>
      <x:c r="B83" s="3"/>
      <x:c r="C83" s="5"/>
      <x:c r="D83" s="5"/>
      <x:c r="E83" s="5"/>
      <x:c r="F83" s="5"/>
      <x:c r="G83" s="5"/>
      <x:c r="H83" s="24" t="n">
        <x:f>$C$49</x:f>
        <x:v>0.085</x:v>
      </x:c>
      <x:c r="I83" s="24" t="n">
        <x:f>$C$49</x:f>
        <x:v>0.085</x:v>
      </x:c>
      <x:c r="J83" s="24" t="n">
        <x:f>$C$49</x:f>
        <x:v>0.085</x:v>
      </x:c>
      <x:c r="K83" s="24" t="n">
        <x:f>$C$49</x:f>
        <x:v>0.085</x:v>
      </x:c>
      <x:c r="L83" s="24" t="n">
        <x:f>$C$49</x:f>
        <x:v>0.085</x:v>
      </x:c>
      <x:c r="M83" s="3"/>
      <x:c r="N83" s="78"/>
    </x:row>
    <x:row r="84" ht="21" customHeight="1">
      <x:c r="A84" s="6" t="str">
        <x:v>New lease assets and liabilities</x:v>
      </x:c>
      <x:c r="B84" s="3"/>
      <x:c r="C84" s="5"/>
      <x:c r="D84" s="5"/>
      <x:c r="E84" s="5"/>
      <x:c r="F84" s="5"/>
      <x:c r="G84" s="5"/>
      <x:c r="H84" s="5" t="n">
        <x:f>$C$50</x:f>
        <x:v>8</x:v>
      </x:c>
      <x:c r="I84" s="5" t="n">
        <x:f>$C$50</x:f>
        <x:v>8</x:v>
      </x:c>
      <x:c r="J84" s="5" t="n">
        <x:f>$C$50</x:f>
        <x:v>8</x:v>
      </x:c>
      <x:c r="K84" s="5" t="n">
        <x:f>$C$50</x:f>
        <x:v>8</x:v>
      </x:c>
      <x:c r="L84" s="5" t="n">
        <x:f>$C$50</x:f>
        <x:v>8</x:v>
      </x:c>
      <x:c r="M84" s="3"/>
      <x:c r="N84" s="78"/>
    </x:row>
    <x:row r="85" ht="21" customHeight="1">
      <x:c r="A85" s="6" t="str">
        <x:v>Lease principal repayments</x:v>
      </x:c>
      <x:c r="B85" s="3"/>
      <x:c r="C85" s="5"/>
      <x:c r="D85" s="5"/>
      <x:c r="E85" s="5"/>
      <x:c r="F85" s="5"/>
      <x:c r="G85" s="5"/>
      <x:c r="H85" s="5" t="n">
        <x:f>$C$51</x:f>
        <x:v>7</x:v>
      </x:c>
      <x:c r="I85" s="5" t="n">
        <x:f>$C$51</x:f>
        <x:v>7</x:v>
      </x:c>
      <x:c r="J85" s="5" t="n">
        <x:f>$C$51</x:f>
        <x:v>7</x:v>
      </x:c>
      <x:c r="K85" s="5" t="n">
        <x:f>$C$51</x:f>
        <x:v>7</x:v>
      </x:c>
      <x:c r="L85" s="5" t="n">
        <x:f>$C$51</x:f>
        <x:v>7</x:v>
      </x:c>
      <x:c r="M85" s="3"/>
      <x:c r="N85" s="78"/>
    </x:row>
    <x:row r="86" ht="21" customHeight="1">
      <x:c r="A86" s="6" t="str">
        <x:v>Lease interest rate</x:v>
      </x:c>
      <x:c r="B86" s="3"/>
      <x:c r="C86" s="5"/>
      <x:c r="D86" s="5"/>
      <x:c r="E86" s="5"/>
      <x:c r="F86" s="5"/>
      <x:c r="G86" s="5"/>
      <x:c r="H86" s="24" t="n">
        <x:f>$C$52</x:f>
        <x:v>0.06</x:v>
      </x:c>
      <x:c r="I86" s="24" t="n">
        <x:f>$C$52</x:f>
        <x:v>0.06</x:v>
      </x:c>
      <x:c r="J86" s="24" t="n">
        <x:f>$C$52</x:f>
        <x:v>0.06</x:v>
      </x:c>
      <x:c r="K86" s="24" t="n">
        <x:f>$C$52</x:f>
        <x:v>0.06</x:v>
      </x:c>
      <x:c r="L86" s="24" t="n">
        <x:f>$C$52</x:f>
        <x:v>0.06</x:v>
      </x:c>
      <x:c r="M86" s="3"/>
      <x:c r="N86" s="78"/>
    </x:row>
    <x:row r="87" ht="21" customHeight="1">
      <x:c r="A87" s="6" t="str">
        <x:v>Dividend payout ratio</x:v>
      </x:c>
      <x:c r="B87" s="3"/>
      <x:c r="C87" s="5"/>
      <x:c r="D87" s="5"/>
      <x:c r="E87" s="5"/>
      <x:c r="F87" s="5"/>
      <x:c r="G87" s="5"/>
      <x:c r="H87" s="24" t="n">
        <x:f>$C$53</x:f>
        <x:v>0.1</x:v>
      </x:c>
      <x:c r="I87" s="24" t="n">
        <x:f>$C$53</x:f>
        <x:v>0.1</x:v>
      </x:c>
      <x:c r="J87" s="24" t="n">
        <x:f>$C$53</x:f>
        <x:v>0.1</x:v>
      </x:c>
      <x:c r="K87" s="24" t="n">
        <x:f>$C$53</x:f>
        <x:v>0.1</x:v>
      </x:c>
      <x:c r="L87" s="24" t="n">
        <x:f>$C$53</x:f>
        <x:v>0.1</x:v>
      </x:c>
      <x:c r="M87" s="3"/>
      <x:c r="N87" s="78"/>
    </x:row>
    <x:row r="88" ht="21" customHeight="1">
      <x:c r="A88" s="6" t="str">
        <x:v>Capex retained in CWIP</x:v>
      </x:c>
      <x:c r="B88" s="3"/>
      <x:c r="C88" s="5"/>
      <x:c r="D88" s="5"/>
      <x:c r="E88" s="5"/>
      <x:c r="F88" s="5"/>
      <x:c r="G88" s="5"/>
      <x:c r="H88" s="24" t="n">
        <x:f>$C$54</x:f>
        <x:v>0.2</x:v>
      </x:c>
      <x:c r="I88" s="24" t="n">
        <x:f>$C$54</x:f>
        <x:v>0.2</x:v>
      </x:c>
      <x:c r="J88" s="24" t="n">
        <x:f>$C$54</x:f>
        <x:v>0.2</x:v>
      </x:c>
      <x:c r="K88" s="24" t="n">
        <x:f>$C$54</x:f>
        <x:v>0.2</x:v>
      </x:c>
      <x:c r="L88" s="24" t="n">
        <x:f>$C$54</x:f>
        <x:v>0.2</x:v>
      </x:c>
      <x:c r="M88" s="3"/>
      <x:c r="N88" s="78"/>
    </x:row>
    <x:row r="89" ht="21" customHeight="1">
      <x:c r="A89" s="6" t="str">
        <x:v>Opening CWIP commissioned</x:v>
      </x:c>
      <x:c r="B89" s="3"/>
      <x:c r="C89" s="5"/>
      <x:c r="D89" s="5"/>
      <x:c r="E89" s="5"/>
      <x:c r="F89" s="5"/>
      <x:c r="G89" s="5"/>
      <x:c r="H89" s="24" t="n">
        <x:f>$C$55</x:f>
        <x:v>0.5</x:v>
      </x:c>
      <x:c r="I89" s="24" t="n">
        <x:f>$C$55</x:f>
        <x:v>0.5</x:v>
      </x:c>
      <x:c r="J89" s="24" t="n">
        <x:f>$C$55</x:f>
        <x:v>0.5</x:v>
      </x:c>
      <x:c r="K89" s="24" t="n">
        <x:f>$C$55</x:f>
        <x:v>0.5</x:v>
      </x:c>
      <x:c r="L89" s="24" t="n">
        <x:f>$C$55</x:f>
        <x:v>0.5</x:v>
      </x:c>
      <x:c r="M89" s="3"/>
      <x:c r="N89" s="78"/>
    </x:row>
    <x:row r="90" ht="21" customHeight="1">
      <x:c r="A90" s="6" t="str">
        <x:v>Intangible amortisation rate</x:v>
      </x:c>
      <x:c r="B90" s="3"/>
      <x:c r="C90" s="5"/>
      <x:c r="D90" s="5"/>
      <x:c r="E90" s="5"/>
      <x:c r="F90" s="5"/>
      <x:c r="G90" s="5"/>
      <x:c r="H90" s="24" t="n">
        <x:f>$C$56</x:f>
        <x:v>0.2</x:v>
      </x:c>
      <x:c r="I90" s="24" t="n">
        <x:f>$C$56</x:f>
        <x:v>0.2</x:v>
      </x:c>
      <x:c r="J90" s="24" t="n">
        <x:f>$C$56</x:f>
        <x:v>0.2</x:v>
      </x:c>
      <x:c r="K90" s="24" t="n">
        <x:f>$C$56</x:f>
        <x:v>0.2</x:v>
      </x:c>
      <x:c r="L90" s="24" t="n">
        <x:f>$C$56</x:f>
        <x:v>0.2</x:v>
      </x:c>
      <x:c r="M90" s="3"/>
      <x:c r="N90" s="78"/>
    </x:row>
    <x:row r="91" ht="21" customHeight="1">
      <x:c r="A91" s="6" t="str">
        <x:v>Interest income / other income</x:v>
      </x:c>
      <x:c r="B91" s="3"/>
      <x:c r="C91" s="5"/>
      <x:c r="D91" s="5"/>
      <x:c r="E91" s="5"/>
      <x:c r="F91" s="5"/>
      <x:c r="G91" s="5"/>
      <x:c r="H91" s="24" t="n">
        <x:f>$C$57</x:f>
        <x:v>0.28694900605012963</x:v>
      </x:c>
      <x:c r="I91" s="24" t="n">
        <x:f>$C$57</x:f>
        <x:v>0.28694900605012963</x:v>
      </x:c>
      <x:c r="J91" s="24" t="n">
        <x:f>$C$57</x:f>
        <x:v>0.28694900605012963</x:v>
      </x:c>
      <x:c r="K91" s="24" t="n">
        <x:f>$C$57</x:f>
        <x:v>0.28694900605012963</x:v>
      </x:c>
      <x:c r="L91" s="24" t="n">
        <x:f>$C$57</x:f>
        <x:v>0.28694900605012963</x:v>
      </x:c>
      <x:c r="M91" s="3"/>
      <x:c r="N91" s="78"/>
    </x:row>
    <x:row r="92" ht="21" customHeight="1">
      <x:c r="A92" s="3"/>
      <x:c r="B92" s="3"/>
      <x:c r="C92" s="5"/>
      <x:c r="D92" s="5"/>
      <x:c r="E92" s="5"/>
      <x:c r="F92" s="5"/>
      <x:c r="G92" s="5"/>
      <x:c r="H92" s="5"/>
      <x:c r="I92" s="5"/>
      <x:c r="J92" s="5"/>
      <x:c r="K92" s="5"/>
      <x:c r="L92" s="5"/>
      <x:c r="M92" s="3"/>
      <x:c r="N92" s="78"/>
    </x:row>
    <x:row r="93" ht="21" customHeight="1">
      <x:c r="A93" s="3"/>
      <x:c r="B93" s="3"/>
      <x:c r="C93" s="5"/>
      <x:c r="D93" s="5"/>
      <x:c r="E93" s="5"/>
      <x:c r="F93" s="5"/>
      <x:c r="G93" s="5"/>
      <x:c r="H93" s="5"/>
      <x:c r="I93" s="5"/>
      <x:c r="J93" s="5"/>
      <x:c r="K93" s="5"/>
      <x:c r="L93" s="5"/>
      <x:c r="M93" s="3"/>
      <x:c r="N93" s="78"/>
    </x:row>
    <x:row r="94" ht="21" customHeight="1">
      <x:c r="A94" s="3"/>
      <x:c r="B94" s="3"/>
      <x:c r="C94" s="5"/>
      <x:c r="D94" s="5"/>
      <x:c r="E94" s="5"/>
      <x:c r="F94" s="5"/>
      <x:c r="G94" s="5"/>
      <x:c r="H94" s="5"/>
      <x:c r="I94" s="5"/>
      <x:c r="J94" s="5"/>
      <x:c r="K94" s="5"/>
      <x:c r="L94" s="5"/>
      <x:c r="M94" s="3"/>
      <x:c r="N94" s="78"/>
    </x:row>
    <x:row r="95" ht="21" customHeight="1">
      <x:c r="A95" s="3"/>
      <x:c r="B95" s="3"/>
      <x:c r="C95" s="5"/>
      <x:c r="D95" s="5"/>
      <x:c r="E95" s="5"/>
      <x:c r="F95" s="5"/>
      <x:c r="G95" s="5"/>
      <x:c r="H95" s="5"/>
      <x:c r="I95" s="5"/>
      <x:c r="J95" s="5"/>
      <x:c r="K95" s="5"/>
      <x:c r="L95" s="5"/>
      <x:c r="M95" s="3"/>
      <x:c r="N95" s="78"/>
    </x:row>
    <x:row r="96" ht="21" customHeight="1">
      <x:c r="A96" s="3"/>
      <x:c r="B96" s="3"/>
      <x:c r="C96" s="5"/>
      <x:c r="D96" s="5"/>
      <x:c r="E96" s="5"/>
      <x:c r="F96" s="5"/>
      <x:c r="G96" s="5"/>
      <x:c r="H96" s="5"/>
      <x:c r="I96" s="5"/>
      <x:c r="J96" s="5"/>
      <x:c r="K96" s="5"/>
      <x:c r="L96" s="5"/>
      <x:c r="M96" s="3"/>
      <x:c r="N96" s="78"/>
    </x:row>
    <x:row r="97" ht="21" customHeight="1">
      <x:c r="A97" s="3"/>
      <x:c r="B97" s="3"/>
      <x:c r="C97" s="5"/>
      <x:c r="D97" s="5"/>
      <x:c r="E97" s="5"/>
      <x:c r="F97" s="5"/>
      <x:c r="G97" s="5"/>
      <x:c r="H97" s="5"/>
      <x:c r="I97" s="5"/>
      <x:c r="J97" s="5"/>
      <x:c r="K97" s="5"/>
      <x:c r="L97" s="5"/>
      <x:c r="M97" s="3"/>
      <x:c r="N97" s="78"/>
    </x:row>
    <x:row r="98" ht="21" customHeight="1">
      <x:c r="A98" s="3"/>
      <x:c r="B98" s="3"/>
      <x:c r="C98" s="5"/>
      <x:c r="D98" s="5"/>
      <x:c r="E98" s="5"/>
      <x:c r="F98" s="5"/>
      <x:c r="G98" s="5"/>
      <x:c r="H98" s="5"/>
      <x:c r="I98" s="5"/>
      <x:c r="J98" s="5"/>
      <x:c r="K98" s="5"/>
      <x:c r="L98" s="5"/>
      <x:c r="M98" s="3"/>
      <x:c r="N98" s="78"/>
    </x:row>
    <x:row r="99" ht="21" customHeight="1">
      <x:c r="A99" s="3"/>
      <x:c r="B99" s="3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3"/>
      <x:c r="N99" s="78"/>
    </x:row>
    <x:row r="100" ht="21" customHeight="1">
      <x:c r="A100" s="3"/>
      <x:c r="B100" s="3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3"/>
      <x:c r="N100" s="78"/>
    </x:row>
  </x:sheetData>
  <x:dataValidations count="1">
    <x:dataValidation type="whole" operator="between" sqref="C3">
      <x:formula1>1</x:formula1>
      <x:formula2>3</x:formula2>
    </x:dataValidation>
  </x:dataValidations>
  <x:pageMargins left="0.7" right="0.7" top="0.75" bottom="0.75" header="0.3" footer="0.3"/>
  <x:legacyDrawing xmlns:r="http://schemas.openxmlformats.org/officeDocument/2006/relationships" r:id="R4edf230e7b2e4f2b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4" hidden="0" customWidth="1"/>
    <x:col min="2" max="2" width="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3" hidden="0" customWidth="1"/>
    <x:col min="14" max="14" width="58" hidden="0" customWidth="1"/>
  </x:cols>
  <x:sheetData>
    <x:row r="1" ht="21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78"/>
    </x:row>
    <x:row r="2" ht="21" customHeight="1">
      <x:c r="A2" s="8" t="str">
        <x:v>Income Statement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78"/>
    </x:row>
    <x:row r="3" ht="21" customHeight="1">
      <x:c r="A3" s="6" t="str">
        <x:v>Consolidated. ₹ crore except per-share values.</x:v>
      </x:c>
      <x:c r="B3" s="3"/>
      <x:c r="C3" s="3"/>
      <x:c r="D3" s="3"/>
      <x:c r="E3" s="3"/>
      <x:c r="F3" s="3"/>
      <x:c r="G3" s="3"/>
      <x:c r="H3" s="6" t="str">
        <x:v>Selected case</x:v>
      </x:c>
      <x:c r="I3" s="3"/>
      <x:c r="J3" s="14" t="str">
        <x:f>'02_Assumptions'!E3</x:f>
        <x:v>Base</x:v>
      </x:c>
      <x:c r="K3" s="3"/>
      <x:c r="L3" s="3"/>
      <x:c r="M3" s="3"/>
      <x:c r="N3" s="78"/>
    </x:row>
    <x:row r="4" ht="21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78"/>
    </x:row>
    <x:row r="5" ht="24" customHeight="1">
      <x:c r="A5" s="12" t="str">
        <x:v>Line item</x:v>
      </x:c>
      <x:c r="B5" s="12"/>
      <x:c r="C5" s="12" t="str">
        <x:v>FY2022A</x:v>
      </x:c>
      <x:c r="D5" s="12" t="str">
        <x:v>FY2023A</x:v>
      </x:c>
      <x:c r="E5" s="12" t="str">
        <x:v>FY2024A</x:v>
      </x:c>
      <x:c r="F5" s="12" t="str">
        <x:v>FY2025A</x:v>
      </x:c>
      <x:c r="G5" s="12" t="str">
        <x:v>FY2026A</x:v>
      </x:c>
      <x:c r="H5" s="12" t="str">
        <x:v>FY2027E</x:v>
      </x:c>
      <x:c r="I5" s="12" t="str">
        <x:v>FY2028E</x:v>
      </x:c>
      <x:c r="J5" s="12" t="str">
        <x:v>FY2029E</x:v>
      </x:c>
      <x:c r="K5" s="12" t="str">
        <x:v>FY2030E</x:v>
      </x:c>
      <x:c r="L5" s="12" t="str">
        <x:v>FY2031E</x:v>
      </x:c>
      <x:c r="M5" s="3"/>
      <x:c r="N5" s="78"/>
    </x:row>
    <x:row r="6" ht="21" customHeight="1">
      <x:c r="A6" s="3"/>
      <x:c r="B6" s="3"/>
      <x:c r="C6" s="5"/>
      <x:c r="D6" s="5"/>
      <x:c r="E6" s="5"/>
      <x:c r="F6" s="5"/>
      <x:c r="G6" s="5"/>
      <x:c r="H6" s="5"/>
      <x:c r="I6" s="5"/>
      <x:c r="J6" s="5"/>
      <x:c r="K6" s="5"/>
      <x:c r="L6" s="5"/>
      <x:c r="M6" s="3"/>
      <x:c r="N6" s="78"/>
    </x:row>
    <x:row r="7" ht="24" customHeight="1">
      <x:c r="A7" s="18" t="str">
        <x:v>Profit and loss</x:v>
      </x:c>
      <x:c r="B7" s="18"/>
      <x:c r="C7" s="19"/>
      <x:c r="D7" s="19"/>
      <x:c r="E7" s="19"/>
      <x:c r="F7" s="19"/>
      <x:c r="G7" s="19"/>
      <x:c r="H7" s="19"/>
      <x:c r="I7" s="19"/>
      <x:c r="J7" s="19"/>
      <x:c r="K7" s="19"/>
      <x:c r="L7" s="19"/>
      <x:c r="M7" s="3"/>
      <x:c r="N7" s="78"/>
    </x:row>
    <x:row r="8" ht="21" customHeight="1">
      <x:c r="A8" s="6" t="str">
        <x:v>Revenue including other operating revenue</x:v>
      </x:c>
      <x:c r="B8" s="3"/>
      <x:c r="C8" s="13" t="n">
        <x:f>'10_Historical'!C8</x:f>
        <x:v>1544.6929</x:v>
      </x:c>
      <x:c r="D8" s="13" t="n">
        <x:f>'10_Historical'!D8</x:f>
        <x:v>1958.5607</x:v>
      </x:c>
      <x:c r="E8" s="13" t="n">
        <x:f>'10_Historical'!E8</x:f>
        <x:v>2271.7823</x:v>
      </x:c>
      <x:c r="F8" s="13" t="n">
        <x:f>'10_Historical'!F8</x:f>
        <x:v>2691.92</x:v>
      </x:c>
      <x:c r="G8" s="13" t="n">
        <x:f>'10_Historical'!G8</x:f>
        <x:v>4040.8</x:v>
      </x:c>
      <x:c r="H8" s="13" t="n">
        <x:f>'06_Schedules'!H10</x:f>
        <x:v>4478.666000000001</x:v>
      </x:c>
      <x:c r="I8" s="13" t="n">
        <x:f>'06_Schedules'!I10</x:f>
        <x:v>5031.74172</x:v>
      </x:c>
      <x:c r="J8" s="13" t="n">
        <x:f>'06_Schedules'!J10</x:f>
        <x:v>5608.8385384</x:v>
      </x:c>
      <x:c r="K8" s="13" t="n">
        <x:f>'06_Schedules'!K10</x:f>
        <x:v>6205.677245968</x:v>
      </x:c>
      <x:c r="L8" s="13" t="n">
        <x:f>'06_Schedules'!L10</x:f>
        <x:v>6818.61226091776</x:v>
      </x:c>
      <x:c r="M8" s="3"/>
      <x:c r="N8" s="78"/>
    </x:row>
    <x:row r="9" ht="21" customHeight="1">
      <x:c r="A9" s="6" t="str">
        <x:v>Other income</x:v>
      </x:c>
      <x:c r="B9" s="3"/>
      <x:c r="C9" s="13" t="n">
        <x:f>'10_Historical'!C9</x:f>
        <x:v>8.8206</x:v>
      </x:c>
      <x:c r="D9" s="13" t="n">
        <x:f>'10_Historical'!D9</x:f>
        <x:v>4.5853</x:v>
      </x:c>
      <x:c r="E9" s="13" t="n">
        <x:f>'10_Historical'!E9</x:f>
        <x:v>13.1583</x:v>
      </x:c>
      <x:c r="F9" s="13" t="n">
        <x:f>'10_Historical'!F9</x:f>
        <x:v>16.64</x:v>
      </x:c>
      <x:c r="G9" s="13" t="n">
        <x:f>'10_Historical'!G9</x:f>
        <x:v>11.57</x:v>
      </x:c>
      <x:c r="H9" s="13" t="n">
        <x:f>H8*'02_Assumptions'!H75</x:f>
        <x:v>11.196665000000003</x:v>
      </x:c>
      <x:c r="I9" s="13" t="n">
        <x:f>I8*'02_Assumptions'!I75</x:f>
        <x:v>12.5793543</x:v>
      </x:c>
      <x:c r="J9" s="13" t="n">
        <x:f>J8*'02_Assumptions'!J75</x:f>
        <x:v>14.022096346000001</x:v>
      </x:c>
      <x:c r="K9" s="13" t="n">
        <x:f>K8*'02_Assumptions'!K75</x:f>
        <x:v>15.51419311492</x:v>
      </x:c>
      <x:c r="L9" s="13" t="n">
        <x:f>L8*'02_Assumptions'!L75</x:f>
        <x:v>17.0465306522944</x:v>
      </x:c>
      <x:c r="M9" s="3"/>
      <x:c r="N9" s="78"/>
    </x:row>
    <x:row r="10" ht="21" customHeight="1">
      <x:c r="A10" s="20" t="str">
        <x:v>Total income</x:v>
      </x:c>
      <x:c r="B10" s="21"/>
      <x:c r="C10" s="22" t="n">
        <x:f>SUM(C8:C9)</x:f>
        <x:v>1553.5135</x:v>
      </x:c>
      <x:c r="D10" s="22" t="n">
        <x:f>SUM(D8:D9)</x:f>
        <x:v>1963.146</x:v>
      </x:c>
      <x:c r="E10" s="22" t="n">
        <x:f>SUM(E8:E9)</x:f>
        <x:v>2284.9406</x:v>
      </x:c>
      <x:c r="F10" s="22" t="n">
        <x:f>SUM(F8:F9)</x:f>
        <x:v>2708.56</x:v>
      </x:c>
      <x:c r="G10" s="22" t="n">
        <x:f>SUM(G8:G9)</x:f>
        <x:v>4052.3700000000003</x:v>
      </x:c>
      <x:c r="H10" s="22" t="n">
        <x:f>SUM(H8:H9)</x:f>
        <x:v>4489.8626650000015</x:v>
      </x:c>
      <x:c r="I10" s="22" t="n">
        <x:f>SUM(I8:I9)</x:f>
        <x:v>5044.3210743</x:v>
      </x:c>
      <x:c r="J10" s="22" t="n">
        <x:f>SUM(J8:J9)</x:f>
        <x:v>5622.860634746</x:v>
      </x:c>
      <x:c r="K10" s="22" t="n">
        <x:f>SUM(K8:K9)</x:f>
        <x:v>6221.19143908292</x:v>
      </x:c>
      <x:c r="L10" s="22" t="n">
        <x:f>SUM(L8:L9)</x:f>
        <x:v>6835.658791570055</x:v>
      </x:c>
      <x:c r="M10" s="3"/>
      <x:c r="N10" s="78"/>
    </x:row>
    <x:row r="11" ht="21" customHeight="1">
      <x:c r="A11" s="6" t="str">
        <x:v>Operating expenses excluding D&amp;A</x:v>
      </x:c>
      <x:c r="B11" s="3"/>
      <x:c r="C11" s="13" t="n">
        <x:f>'10_Historical'!C11</x:f>
        <x:v>1364.1128</x:v>
      </x:c>
      <x:c r="D11" s="13" t="n">
        <x:f>'10_Historical'!D11</x:f>
        <x:v>1730.0857</x:v>
      </x:c>
      <x:c r="E11" s="13" t="n">
        <x:f>'10_Historical'!E11</x:f>
        <x:v>1998.7254</x:v>
      </x:c>
      <x:c r="F11" s="13" t="n">
        <x:f>'10_Historical'!F11</x:f>
        <x:v>2379.03</x:v>
      </x:c>
      <x:c r="G11" s="13" t="n">
        <x:f>'10_Historical'!G11</x:f>
        <x:v>3571.43</x:v>
      </x:c>
      <x:c r="H11" s="5" t="n">
        <x:f>H8-H18</x:f>
        <x:v>3972.576742000001</x:v>
      </x:c>
      <x:c r="I11" s="5" t="n">
        <x:f>I8-I18</x:f>
        <x:v>4456.86522849</x:v>
      </x:c>
      <x:c r="J11" s="5" t="n">
        <x:f>J8-J18</x:f>
        <x:v>4961.0176872148</x:v>
      </x:c>
      <x:c r="K11" s="5" t="n">
        <x:f>K8-K18</x:f>
        <x:v>5481.164427501236</x:v>
      </x:c>
      <x:c r="L11" s="5" t="n">
        <x:f>L8-L18</x:f>
        <x:v>6014.016014129465</x:v>
      </x:c>
      <x:c r="M11" s="3"/>
      <x:c r="N11" s="78"/>
    </x:row>
    <x:row r="12" ht="21" customHeight="1">
      <x:c r="A12" s="6" t="str">
        <x:v>Depreciation and amortisation</x:v>
      </x:c>
      <x:c r="B12" s="3"/>
      <x:c r="C12" s="13" t="n">
        <x:f>'10_Historical'!C12</x:f>
        <x:v>81.839</x:v>
      </x:c>
      <x:c r="D12" s="13" t="n">
        <x:f>'10_Historical'!D12</x:f>
        <x:v>77.9078</x:v>
      </x:c>
      <x:c r="E12" s="13" t="n">
        <x:f>'10_Historical'!E12</x:f>
        <x:v>82.0606</x:v>
      </x:c>
      <x:c r="F12" s="13" t="n">
        <x:f>'10_Historical'!F12</x:f>
        <x:v>89.75</x:v>
      </x:c>
      <x:c r="G12" s="13" t="n">
        <x:f>'10_Historical'!G12</x:f>
        <x:v>119.96</x:v>
      </x:c>
      <x:c r="H12" s="13" t="n">
        <x:f>'06_Schedules'!H70</x:f>
        <x:v>121.18394999999998</x:v>
      </x:c>
      <x:c r="I12" s="13" t="n">
        <x:f>'06_Schedules'!I70</x:f>
        <x:v>140.8480395</x:v>
      </x:c>
      <x:c r="J12" s="13" t="n">
        <x:f>'06_Schedules'!J70</x:f>
        <x:v>156.99944381412</x:v>
      </x:c>
      <x:c r="K12" s="13" t="n">
        <x:f>'06_Schedules'!K70</x:f>
        <x:v>170.4190870038516</x:v>
      </x:c>
      <x:c r="L12" s="13" t="n">
        <x:f>'06_Schedules'!L70</x:f>
        <x:v>174.86291213795212</x:v>
      </x:c>
      <x:c r="M12" s="3"/>
      <x:c r="N12" s="78"/>
    </x:row>
    <x:row r="13" ht="21" customHeight="1">
      <x:c r="A13" s="6" t="str">
        <x:v>Finance costs</x:v>
      </x:c>
      <x:c r="B13" s="3"/>
      <x:c r="C13" s="13" t="n">
        <x:f>'10_Historical'!C13</x:f>
        <x:v>27.2823</x:v>
      </x:c>
      <x:c r="D13" s="13" t="n">
        <x:f>'10_Historical'!D13</x:f>
        <x:v>18.2825</x:v>
      </x:c>
      <x:c r="E13" s="13" t="n">
        <x:f>'10_Historical'!E13</x:f>
        <x:v>18.25</x:v>
      </x:c>
      <x:c r="F13" s="13" t="n">
        <x:f>'10_Historical'!F13</x:f>
        <x:v>13.17</x:v>
      </x:c>
      <x:c r="G13" s="13" t="n">
        <x:f>'10_Historical'!G13</x:f>
        <x:v>30.04</x:v>
      </x:c>
      <x:c r="H13" s="13" t="n">
        <x:f>'06_Schedules'!H52+'06_Schedules'!H45</x:f>
        <x:v>31.822599999999998</x:v>
      </x:c>
      <x:c r="I13" s="13" t="n">
        <x:f>'06_Schedules'!I52+'06_Schedules'!I45</x:f>
        <x:v>35.33854305914295</x:v>
      </x:c>
      <x:c r="J13" s="13" t="n">
        <x:f>'06_Schedules'!J52+'06_Schedules'!J45</x:f>
        <x:v>37.984629021338016</x:v>
      </x:c>
      <x:c r="K13" s="13" t="n">
        <x:f>'06_Schedules'!K52+'06_Schedules'!K45</x:f>
        <x:v>30.499995730305525</x:v>
      </x:c>
      <x:c r="L13" s="13" t="n">
        <x:f>'06_Schedules'!L52+'06_Schedules'!L45</x:f>
        <x:v>20.55213323737197</x:v>
      </x:c>
      <x:c r="M13" s="3"/>
      <x:c r="N13" s="78"/>
    </x:row>
    <x:row r="14" ht="21" customHeight="1">
      <x:c r="A14" s="6" t="str">
        <x:v>Profit before tax</x:v>
      </x:c>
      <x:c r="B14" s="3"/>
      <x:c r="C14" s="5" t="n">
        <x:f>C19+C9-C13+C20</x:f>
        <x:v>80.2793999999999</x:v>
      </x:c>
      <x:c r="D14" s="5" t="n">
        <x:f>D19+D9-D13+D20</x:f>
        <x:v>146.6199999999999</x:v>
      </x:c>
      <x:c r="E14" s="5" t="n">
        <x:f>E19+E9-E13+E20</x:f>
        <x:v>185.90459999999982</x:v>
      </x:c>
      <x:c r="F14" s="5" t="n">
        <x:f>F19+F9-F13+F20</x:f>
        <x:v>226.60999999999987</x:v>
      </x:c>
      <x:c r="G14" s="5" t="n">
        <x:f>G19+G9-G13+G20</x:f>
        <x:v>330.94000000000034</x:v>
      </x:c>
      <x:c r="H14" s="5" t="n">
        <x:f>H19+H9-H13+H20</x:f>
        <x:v>364.27937300000013</x:v>
      </x:c>
      <x:c r="I14" s="5" t="n">
        <x:f>I19+I9-I13+I20</x:f>
        <x:v>411.2692632508571</x:v>
      </x:c>
      <x:c r="J14" s="5" t="n">
        <x:f>J19+J9-J13+J20</x:f>
        <x:v>466.858874695742</x:v>
      </x:c>
      <x:c r="K14" s="5" t="n">
        <x:f>K19+K9-K13+K20</x:f>
        <x:v>539.1079288475268</x:v>
      </x:c>
      <x:c r="L14" s="5" t="n">
        <x:f>L19+L9-L13+L20</x:f>
        <x:v>626.227732065266</x:v>
      </x:c>
      <x:c r="M14" s="3"/>
      <x:c r="N14" s="78"/>
    </x:row>
    <x:row r="15" ht="21" customHeight="1">
      <x:c r="A15" s="6" t="str">
        <x:v>Tax expense</x:v>
      </x:c>
      <x:c r="B15" s="3"/>
      <x:c r="C15" s="13" t="n">
        <x:f>'10_Historical'!C15</x:f>
        <x:v>29.185700000000004</x:v>
      </x:c>
      <x:c r="D15" s="13" t="n">
        <x:f>'10_Historical'!D15</x:f>
        <x:v>21.934700000000003</x:v>
      </x:c>
      <x:c r="E15" s="13" t="n">
        <x:f>'10_Historical'!E15</x:f>
        <x:v>45.293099999999995</x:v>
      </x:c>
      <x:c r="F15" s="13" t="n">
        <x:f>'10_Historical'!F15</x:f>
        <x:v>59.580000000000005</x:v>
      </x:c>
      <x:c r="G15" s="13" t="n">
        <x:f>'10_Historical'!G15</x:f>
        <x:v>80.14</x:v>
      </x:c>
      <x:c r="H15" s="13" t="n">
        <x:f>MAX(0,H14)*'02_Assumptions'!H74</x:f>
        <x:v>91.68183259664004</x:v>
      </x:c>
      <x:c r="I15" s="13" t="n">
        <x:f>MAX(0,I14)*'02_Assumptions'!I74</x:f>
        <x:v>103.50824817497572</x:v>
      </x:c>
      <x:c r="J15" s="13" t="n">
        <x:f>MAX(0,J14)*'02_Assumptions'!J74</x:f>
        <x:v>117.49904158342434</x:v>
      </x:c>
      <x:c r="K15" s="13" t="n">
        <x:f>MAX(0,K14)*'02_Assumptions'!K74</x:f>
        <x:v>135.68268353234555</x:v>
      </x:c>
      <x:c r="L15" s="13" t="n">
        <x:f>MAX(0,L14)*'02_Assumptions'!L74</x:f>
        <x:v>157.60899560618614</x:v>
      </x:c>
      <x:c r="M15" s="3"/>
      <x:c r="N15" s="78"/>
    </x:row>
    <x:row r="16" ht="21" customHeight="1">
      <x:c r="A16" s="20" t="str">
        <x:v>Profit after tax</x:v>
      </x:c>
      <x:c r="B16" s="21"/>
      <x:c r="C16" s="22" t="n">
        <x:f>C14-C15</x:f>
        <x:v>51.09369999999989</x:v>
      </x:c>
      <x:c r="D16" s="22" t="n">
        <x:f>D14-D15</x:f>
        <x:v>124.68529999999988</x:v>
      </x:c>
      <x:c r="E16" s="22" t="n">
        <x:f>E14-E15</x:f>
        <x:v>140.6114999999998</x:v>
      </x:c>
      <x:c r="F16" s="22" t="n">
        <x:f>F14-F15</x:f>
        <x:v>167.02999999999986</x:v>
      </x:c>
      <x:c r="G16" s="22" t="n">
        <x:f>G14-G15</x:f>
        <x:v>250.80000000000035</x:v>
      </x:c>
      <x:c r="H16" s="22" t="n">
        <x:f>H14-H15</x:f>
        <x:v>272.5975404033601</x:v>
      </x:c>
      <x:c r="I16" s="22" t="n">
        <x:f>I14-I15</x:f>
        <x:v>307.76101507588135</x:v>
      </x:c>
      <x:c r="J16" s="22" t="n">
        <x:f>J14-J15</x:f>
        <x:v>349.35983311231763</x:v>
      </x:c>
      <x:c r="K16" s="22" t="n">
        <x:f>K14-K15</x:f>
        <x:v>403.4252453151812</x:v>
      </x:c>
      <x:c r="L16" s="22" t="n">
        <x:f>L14-L15</x:f>
        <x:v>468.61873645907986</x:v>
      </x:c>
      <x:c r="M16" s="3"/>
      <x:c r="N16" s="78"/>
    </x:row>
    <x:row r="17" ht="21" customHeight="1">
      <x:c r="A17" s="20" t="str">
        <x:v>Profit attributable to owners</x:v>
      </x:c>
      <x:c r="B17" s="21"/>
      <x:c r="C17" s="22" t="n">
        <x:f>C16</x:f>
        <x:v>51.09369999999989</x:v>
      </x:c>
      <x:c r="D17" s="22" t="n">
        <x:f>D16</x:f>
        <x:v>124.68529999999988</x:v>
      </x:c>
      <x:c r="E17" s="22" t="n">
        <x:f>E16</x:f>
        <x:v>140.6114999999998</x:v>
      </x:c>
      <x:c r="F17" s="22" t="n">
        <x:f>F16</x:f>
        <x:v>167.02999999999986</x:v>
      </x:c>
      <x:c r="G17" s="22" t="n">
        <x:f>G16</x:f>
        <x:v>250.80000000000035</x:v>
      </x:c>
      <x:c r="H17" s="22" t="n">
        <x:f>H16</x:f>
        <x:v>272.5975404033601</x:v>
      </x:c>
      <x:c r="I17" s="22" t="n">
        <x:f>I16</x:f>
        <x:v>307.76101507588135</x:v>
      </x:c>
      <x:c r="J17" s="22" t="n">
        <x:f>J16</x:f>
        <x:v>349.35983311231763</x:v>
      </x:c>
      <x:c r="K17" s="22" t="n">
        <x:f>K16</x:f>
        <x:v>403.4252453151812</x:v>
      </x:c>
      <x:c r="L17" s="22" t="n">
        <x:f>L16</x:f>
        <x:v>468.61873645907986</x:v>
      </x:c>
      <x:c r="M17" s="3"/>
      <x:c r="N17" s="78"/>
    </x:row>
    <x:row r="18" ht="21" customHeight="1">
      <x:c r="A18" s="20" t="str">
        <x:v>Operating EBITDA</x:v>
      </x:c>
      <x:c r="B18" s="21"/>
      <x:c r="C18" s="23" t="n">
        <x:f>'10_Historical'!C18</x:f>
        <x:v>180.5800999999999</x:v>
      </x:c>
      <x:c r="D18" s="23" t="n">
        <x:f>'10_Historical'!D18</x:f>
        <x:v>228.4749999999999</x:v>
      </x:c>
      <x:c r="E18" s="23" t="n">
        <x:f>'10_Historical'!E18</x:f>
        <x:v>273.0568999999998</x:v>
      </x:c>
      <x:c r="F18" s="23" t="n">
        <x:f>'10_Historical'!F18</x:f>
        <x:v>312.8899999999999</x:v>
      </x:c>
      <x:c r="G18" s="23" t="n">
        <x:f>'10_Historical'!G18</x:f>
        <x:v>469.37000000000035</x:v>
      </x:c>
      <x:c r="H18" s="23" t="n">
        <x:f>H8*'02_Assumptions'!H70</x:f>
        <x:v>506.08925800000014</x:v>
      </x:c>
      <x:c r="I18" s="23" t="n">
        <x:f>I8*'02_Assumptions'!I70</x:f>
        <x:v>574.87649151</x:v>
      </x:c>
      <x:c r="J18" s="23" t="n">
        <x:f>J8*'02_Assumptions'!J70</x:f>
        <x:v>647.8208511852</x:v>
      </x:c>
      <x:c r="K18" s="23" t="n">
        <x:f>K8*'02_Assumptions'!K70</x:f>
        <x:v>724.5128184667639</x:v>
      </x:c>
      <x:c r="L18" s="23" t="n">
        <x:f>L8*'02_Assumptions'!L70</x:f>
        <x:v>804.5962467882956</x:v>
      </x:c>
      <x:c r="M18" s="3"/>
      <x:c r="N18" s="78"/>
    </x:row>
    <x:row r="19" ht="21" customHeight="1">
      <x:c r="A19" s="20" t="str">
        <x:v>Operating EBIT</x:v>
      </x:c>
      <x:c r="B19" s="21"/>
      <x:c r="C19" s="23" t="n">
        <x:f>'10_Historical'!C19</x:f>
        <x:v>98.7410999999999</x:v>
      </x:c>
      <x:c r="D19" s="23" t="n">
        <x:f>'10_Historical'!D19</x:f>
        <x:v>150.5671999999999</x:v>
      </x:c>
      <x:c r="E19" s="23" t="n">
        <x:f>'10_Historical'!E19</x:f>
        <x:v>190.99629999999982</x:v>
      </x:c>
      <x:c r="F19" s="23" t="n">
        <x:f>'10_Historical'!F19</x:f>
        <x:v>223.13999999999987</x:v>
      </x:c>
      <x:c r="G19" s="23" t="n">
        <x:f>'10_Historical'!G19</x:f>
        <x:v>349.41000000000037</x:v>
      </x:c>
      <x:c r="H19" s="22" t="n">
        <x:f>H18-H12</x:f>
        <x:v>384.90530800000016</x:v>
      </x:c>
      <x:c r="I19" s="22" t="n">
        <x:f>I18-I12</x:f>
        <x:v>434.02845201</x:v>
      </x:c>
      <x:c r="J19" s="22" t="n">
        <x:f>J18-J12</x:f>
        <x:v>490.82140737108</x:v>
      </x:c>
      <x:c r="K19" s="22" t="n">
        <x:f>K18-K12</x:f>
        <x:v>554.0937314629123</x:v>
      </x:c>
      <x:c r="L19" s="22" t="n">
        <x:f>L18-L12</x:f>
        <x:v>629.7333346503435</x:v>
      </x:c>
      <x:c r="M19" s="3"/>
      <x:c r="N19" s="78"/>
    </x:row>
    <x:row r="20" ht="21" customHeight="1">
      <x:c r="A20" s="6" t="str">
        <x:v>Exceptional income</x:v>
      </x:c>
      <x:c r="B20" s="3"/>
      <x:c r="C20" s="13" t="n">
        <x:f>'10_Historical'!C20</x:f>
        <x:v>0</x:v>
      </x:c>
      <x:c r="D20" s="13" t="n">
        <x:f>'10_Historical'!D20</x:f>
        <x:v>9.75</x:v>
      </x:c>
      <x:c r="E20" s="13" t="n">
        <x:f>'10_Historical'!E20</x:f>
        <x:v>0</x:v>
      </x:c>
      <x:c r="F20" s="13" t="n">
        <x:f>'10_Historical'!F20</x:f>
        <x:v>0</x:v>
      </x:c>
      <x:c r="G20" s="13" t="n">
        <x:f>'10_Historical'!G20</x:f>
        <x:v>0</x:v>
      </x:c>
      <x:c r="H20" s="5" t="n">
        <x:f>0</x:f>
        <x:v>0</x:v>
      </x:c>
      <x:c r="I20" s="5" t="n">
        <x:f>0</x:f>
        <x:v>0</x:v>
      </x:c>
      <x:c r="J20" s="5" t="n">
        <x:f>0</x:f>
        <x:v>0</x:v>
      </x:c>
      <x:c r="K20" s="5" t="n">
        <x:f>0</x:f>
        <x:v>0</x:v>
      </x:c>
      <x:c r="L20" s="5" t="n">
        <x:f>0</x:f>
        <x:v>0</x:v>
      </x:c>
      <x:c r="M20" s="3"/>
      <x:c r="N20" s="78"/>
    </x:row>
    <x:row r="21" ht="21" customHeight="1">
      <x:c r="A21" s="3"/>
      <x:c r="B21" s="3"/>
      <x:c r="C21" s="5"/>
      <x:c r="D21" s="5"/>
      <x:c r="E21" s="5"/>
      <x:c r="F21" s="5"/>
      <x:c r="G21" s="5"/>
      <x:c r="H21" s="5"/>
      <x:c r="I21" s="5"/>
      <x:c r="J21" s="5"/>
      <x:c r="K21" s="5"/>
      <x:c r="L21" s="5"/>
      <x:c r="M21" s="3"/>
      <x:c r="N21" s="78"/>
    </x:row>
    <x:row r="22" ht="21" customHeight="1">
      <x:c r="A22" s="3"/>
      <x:c r="B22" s="3"/>
      <x:c r="C22" s="5"/>
      <x:c r="D22" s="5"/>
      <x:c r="E22" s="5"/>
      <x:c r="F22" s="5"/>
      <x:c r="G22" s="5"/>
      <x:c r="H22" s="5"/>
      <x:c r="I22" s="5"/>
      <x:c r="J22" s="5"/>
      <x:c r="K22" s="5"/>
      <x:c r="L22" s="5"/>
      <x:c r="M22" s="3"/>
      <x:c r="N22" s="78"/>
    </x:row>
    <x:row r="23" ht="21" customHeight="1">
      <x:c r="A23" s="3"/>
      <x:c r="B23" s="3"/>
      <x:c r="C23" s="5"/>
      <x:c r="D23" s="5"/>
      <x:c r="E23" s="5"/>
      <x:c r="F23" s="5"/>
      <x:c r="G23" s="5"/>
      <x:c r="H23" s="5"/>
      <x:c r="I23" s="5"/>
      <x:c r="J23" s="5"/>
      <x:c r="K23" s="5"/>
      <x:c r="L23" s="5"/>
      <x:c r="M23" s="3"/>
      <x:c r="N23" s="78"/>
    </x:row>
    <x:row r="24" ht="21" customHeight="1">
      <x:c r="A24" s="6" t="str">
        <x:v>Operating EBITDA margin</x:v>
      </x:c>
      <x:c r="B24" s="3"/>
      <x:c r="C24" s="24" t="n">
        <x:f>C18/C8</x:f>
        <x:v>0.11690356057181327</x:v>
      </x:c>
      <x:c r="D24" s="24" t="n">
        <x:f>D18/D8</x:f>
        <x:v>0.11665454126594081</x:v>
      </x:c>
      <x:c r="E24" s="24" t="n">
        <x:f>E18/E8</x:f>
        <x:v>0.12019501164350116</x:v>
      </x:c>
      <x:c r="F24" s="24" t="n">
        <x:f>F18/F8</x:f>
        <x:v>0.1162330232696365</x:v>
      </x:c>
      <x:c r="G24" s="24" t="n">
        <x:f>G18/G8</x:f>
        <x:v>0.11615769154622856</x:v>
      </x:c>
      <x:c r="H24" s="24" t="n">
        <x:f>H18/H8</x:f>
        <x:v>0.113</x:v>
      </x:c>
      <x:c r="I24" s="24" t="n">
        <x:f>I18/I8</x:f>
        <x:v>0.11425</x:v>
      </x:c>
      <x:c r="J24" s="24" t="n">
        <x:f>J18/J8</x:f>
        <x:v>0.11549999999999999</x:v>
      </x:c>
      <x:c r="K24" s="24" t="n">
        <x:f>K18/K8</x:f>
        <x:v>0.11674999999999998</x:v>
      </x:c>
      <x:c r="L24" s="24" t="n">
        <x:f>L18/L8</x:f>
        <x:v>0.118</x:v>
      </x:c>
      <x:c r="M24" s="3"/>
      <x:c r="N24" s="78"/>
    </x:row>
    <x:row r="25" ht="21" customHeight="1">
      <x:c r="A25" s="6" t="str">
        <x:v>Net profit margin</x:v>
      </x:c>
      <x:c r="B25" s="3"/>
      <x:c r="C25" s="24" t="n">
        <x:f>C16/C8</x:f>
        <x:v>0.03307693069606256</x:v>
      </x:c>
      <x:c r="D25" s="24" t="n">
        <x:f>D16/D8</x:f>
        <x:v>0.06366169810310188</x:v>
      </x:c>
      <x:c r="E25" s="24" t="n">
        <x:f>E16/E8</x:f>
        <x:v>0.061894795113070396</x:v>
      </x:c>
      <x:c r="F25" s="24" t="n">
        <x:f>F16/F8</x:f>
        <x:v>0.06204864929121216</x:v>
      </x:c>
      <x:c r="G25" s="24" t="n">
        <x:f>G16/G8</x:f>
        <x:v>0.06206691744209076</x:v>
      </x:c>
      <x:c r="H25" s="24" t="n">
        <x:f>H16/H8</x:f>
        <x:v>0.06086578914421393</x:v>
      </x:c>
      <x:c r="I25" s="24" t="n">
        <x:f>I16/I8</x:f>
        <x:v>0.061163913452195504</x:v>
      </x:c>
      <x:c r="J25" s="24" t="n">
        <x:f>J16/J8</x:f>
        <x:v>0.06228737566975451</x:v>
      </x:c>
      <x:c r="K25" s="24" t="n">
        <x:f>K16/K8</x:f>
        <x:v>0.06500906014364471</x:v>
      </x:c>
      <x:c r="L25" s="24" t="n">
        <x:f>L16/L8</x:f>
        <x:v>0.06872640920573558</x:v>
      </x:c>
      <x:c r="M25" s="3"/>
      <x:c r="N25" s="78"/>
    </x:row>
    <x:row r="26" ht="21" customHeight="1">
      <x:c r="A26" s="3"/>
      <x:c r="B26" s="3"/>
      <x:c r="C26" s="5"/>
      <x:c r="D26" s="5"/>
      <x:c r="E26" s="5"/>
      <x:c r="F26" s="5"/>
      <x:c r="G26" s="5"/>
      <x:c r="H26" s="5"/>
      <x:c r="I26" s="5"/>
      <x:c r="J26" s="5"/>
      <x:c r="K26" s="5"/>
      <x:c r="L26" s="5"/>
      <x:c r="M26" s="3"/>
      <x:c r="N26" s="78"/>
    </x:row>
    <x:row r="27" ht="21" customHeight="1">
      <x:c r="A27" s="3"/>
      <x:c r="B27" s="3"/>
      <x:c r="C27" s="5"/>
      <x:c r="D27" s="5"/>
      <x:c r="E27" s="5"/>
      <x:c r="F27" s="5"/>
      <x:c r="G27" s="5"/>
      <x:c r="H27" s="5"/>
      <x:c r="I27" s="5"/>
      <x:c r="J27" s="5"/>
      <x:c r="K27" s="5"/>
      <x:c r="L27" s="5"/>
      <x:c r="M27" s="3"/>
      <x:c r="N27" s="78"/>
    </x:row>
    <x:row r="28" ht="21" customHeight="1">
      <x:c r="A28" s="3"/>
      <x:c r="B28" s="3"/>
      <x:c r="C28" s="5"/>
      <x:c r="D28" s="5"/>
      <x:c r="E28" s="5"/>
      <x:c r="F28" s="5"/>
      <x:c r="G28" s="5"/>
      <x:c r="H28" s="5"/>
      <x:c r="I28" s="5"/>
      <x:c r="J28" s="5"/>
      <x:c r="K28" s="5"/>
      <x:c r="L28" s="5"/>
      <x:c r="M28" s="3"/>
      <x:c r="N28" s="78"/>
    </x:row>
    <x:row r="29" ht="21" customHeight="1">
      <x:c r="A29" s="3"/>
      <x:c r="B29" s="3"/>
      <x:c r="C29" s="5"/>
      <x:c r="D29" s="5"/>
      <x:c r="E29" s="5"/>
      <x:c r="F29" s="5"/>
      <x:c r="G29" s="5"/>
      <x:c r="H29" s="5"/>
      <x:c r="I29" s="5"/>
      <x:c r="J29" s="5"/>
      <x:c r="K29" s="5"/>
      <x:c r="L29" s="5"/>
      <x:c r="M29" s="3"/>
      <x:c r="N29" s="78"/>
    </x:row>
    <x:row r="30" ht="21" customHeight="1">
      <x:c r="A30" s="3"/>
      <x:c r="B30" s="3"/>
      <x:c r="C30" s="5"/>
      <x:c r="D30" s="5"/>
      <x:c r="E30" s="5"/>
      <x:c r="F30" s="5"/>
      <x:c r="G30" s="5"/>
      <x:c r="H30" s="5"/>
      <x:c r="I30" s="5"/>
      <x:c r="J30" s="5"/>
      <x:c r="K30" s="5"/>
      <x:c r="L30" s="5"/>
      <x:c r="M30" s="3"/>
      <x:c r="N30" s="78"/>
    </x:row>
    <x:row r="31" ht="21" customHeight="1">
      <x:c r="A31" s="3"/>
      <x:c r="B31" s="3"/>
      <x:c r="C31" s="5"/>
      <x:c r="D31" s="5"/>
      <x:c r="E31" s="5"/>
      <x:c r="F31" s="5"/>
      <x:c r="G31" s="5"/>
      <x:c r="H31" s="5"/>
      <x:c r="I31" s="5"/>
      <x:c r="J31" s="5"/>
      <x:c r="K31" s="5"/>
      <x:c r="L31" s="5"/>
      <x:c r="M31" s="3"/>
      <x:c r="N31" s="78"/>
    </x:row>
    <x:row r="32" ht="21" customHeight="1">
      <x:c r="A32" s="3"/>
      <x:c r="B32" s="3"/>
      <x:c r="C32" s="5"/>
      <x:c r="D32" s="5"/>
      <x:c r="E32" s="5"/>
      <x:c r="F32" s="5"/>
      <x:c r="G32" s="5"/>
      <x:c r="H32" s="5"/>
      <x:c r="I32" s="5"/>
      <x:c r="J32" s="5"/>
      <x:c r="K32" s="5"/>
      <x:c r="L32" s="5"/>
      <x:c r="M32" s="3"/>
      <x:c r="N32" s="78"/>
    </x:row>
    <x:row r="33" ht="21" customHeight="1">
      <x:c r="A33" s="3"/>
      <x:c r="B33" s="3"/>
      <x:c r="C33" s="5"/>
      <x:c r="D33" s="5"/>
      <x:c r="E33" s="5"/>
      <x:c r="F33" s="5"/>
      <x:c r="G33" s="5"/>
      <x:c r="H33" s="5"/>
      <x:c r="I33" s="5"/>
      <x:c r="J33" s="5"/>
      <x:c r="K33" s="5"/>
      <x:c r="L33" s="5"/>
      <x:c r="M33" s="3"/>
      <x:c r="N33" s="78"/>
    </x:row>
    <x:row r="34" ht="21" customHeight="1">
      <x:c r="A34" s="3"/>
      <x:c r="B34" s="3"/>
      <x:c r="C34" s="5"/>
      <x:c r="D34" s="5"/>
      <x:c r="E34" s="5"/>
      <x:c r="F34" s="5"/>
      <x:c r="G34" s="5"/>
      <x:c r="H34" s="5"/>
      <x:c r="I34" s="5"/>
      <x:c r="J34" s="5"/>
      <x:c r="K34" s="5"/>
      <x:c r="L34" s="5"/>
      <x:c r="M34" s="3"/>
      <x:c r="N34" s="78"/>
    </x:row>
    <x:row r="35" ht="21" customHeight="1">
      <x:c r="A35" s="3"/>
      <x:c r="B35" s="3"/>
      <x:c r="C35" s="5"/>
      <x:c r="D35" s="5"/>
      <x:c r="E35" s="5"/>
      <x:c r="F35" s="5"/>
      <x:c r="G35" s="5"/>
      <x:c r="H35" s="5"/>
      <x:c r="I35" s="5"/>
      <x:c r="J35" s="5"/>
      <x:c r="K35" s="5"/>
      <x:c r="L35" s="5"/>
      <x:c r="M35" s="3"/>
      <x:c r="N35" s="78"/>
    </x:row>
    <x:row r="36" ht="21" customHeight="1">
      <x:c r="A36" s="3"/>
      <x:c r="B36" s="3"/>
      <x:c r="C36" s="5"/>
      <x:c r="D36" s="5"/>
      <x:c r="E36" s="5"/>
      <x:c r="F36" s="5"/>
      <x:c r="G36" s="5"/>
      <x:c r="H36" s="5"/>
      <x:c r="I36" s="5"/>
      <x:c r="J36" s="5"/>
      <x:c r="K36" s="5"/>
      <x:c r="L36" s="5"/>
      <x:c r="M36" s="3"/>
      <x:c r="N36" s="78"/>
    </x:row>
    <x:row r="37" ht="21" customHeight="1">
      <x:c r="A37" s="3"/>
      <x:c r="B37" s="3"/>
      <x:c r="C37" s="5"/>
      <x:c r="D37" s="5"/>
      <x:c r="E37" s="5"/>
      <x:c r="F37" s="5"/>
      <x:c r="G37" s="5"/>
      <x:c r="H37" s="5"/>
      <x:c r="I37" s="5"/>
      <x:c r="J37" s="5"/>
      <x:c r="K37" s="5"/>
      <x:c r="L37" s="5"/>
      <x:c r="M37" s="3"/>
      <x:c r="N37" s="78"/>
    </x:row>
    <x:row r="38" ht="21" customHeight="1">
      <x:c r="A38" s="3"/>
      <x:c r="B38" s="3"/>
      <x:c r="C38" s="5"/>
      <x:c r="D38" s="5"/>
      <x:c r="E38" s="5"/>
      <x:c r="F38" s="5"/>
      <x:c r="G38" s="5"/>
      <x:c r="H38" s="5"/>
      <x:c r="I38" s="5"/>
      <x:c r="J38" s="5"/>
      <x:c r="K38" s="5"/>
      <x:c r="L38" s="5"/>
      <x:c r="M38" s="3"/>
      <x:c r="N38" s="78"/>
    </x:row>
    <x:row r="39" ht="21" customHeight="1">
      <x:c r="A39" s="3"/>
      <x:c r="B39" s="3"/>
      <x:c r="C39" s="5"/>
      <x:c r="D39" s="5"/>
      <x:c r="E39" s="5"/>
      <x:c r="F39" s="5"/>
      <x:c r="G39" s="5"/>
      <x:c r="H39" s="5"/>
      <x:c r="I39" s="5"/>
      <x:c r="J39" s="5"/>
      <x:c r="K39" s="5"/>
      <x:c r="L39" s="5"/>
      <x:c r="M39" s="3"/>
      <x:c r="N39" s="78"/>
    </x:row>
    <x:row r="40" ht="21" customHeight="1">
      <x:c r="A40" s="3"/>
      <x:c r="B40" s="3"/>
      <x:c r="C40" s="5"/>
      <x:c r="D40" s="5"/>
      <x:c r="E40" s="5"/>
      <x:c r="F40" s="5"/>
      <x:c r="G40" s="5"/>
      <x:c r="H40" s="5"/>
      <x:c r="I40" s="5"/>
      <x:c r="J40" s="5"/>
      <x:c r="K40" s="5"/>
      <x:c r="L40" s="5"/>
      <x:c r="M40" s="3"/>
      <x:c r="N40" s="78"/>
    </x:row>
    <x:row r="41" ht="21" customHeight="1">
      <x:c r="A41" s="3"/>
      <x:c r="B41" s="3"/>
      <x:c r="C41" s="5"/>
      <x:c r="D41" s="5"/>
      <x:c r="E41" s="5"/>
      <x:c r="F41" s="5"/>
      <x:c r="G41" s="5"/>
      <x:c r="H41" s="5"/>
      <x:c r="I41" s="5"/>
      <x:c r="J41" s="5"/>
      <x:c r="K41" s="5"/>
      <x:c r="L41" s="5"/>
      <x:c r="M41" s="3"/>
      <x:c r="N41" s="78"/>
    </x:row>
    <x:row r="42" ht="21" customHeight="1">
      <x:c r="A42" s="3"/>
      <x:c r="B42" s="3"/>
      <x:c r="C42" s="5"/>
      <x:c r="D42" s="5"/>
      <x:c r="E42" s="5"/>
      <x:c r="F42" s="5"/>
      <x:c r="G42" s="5"/>
      <x:c r="H42" s="5"/>
      <x:c r="I42" s="5"/>
      <x:c r="J42" s="5"/>
      <x:c r="K42" s="5"/>
      <x:c r="L42" s="5"/>
      <x:c r="M42" s="3"/>
      <x:c r="N42" s="78"/>
    </x:row>
    <x:row r="43" ht="21" customHeight="1">
      <x:c r="A43" s="3"/>
      <x:c r="B43" s="3"/>
      <x:c r="C43" s="5"/>
      <x:c r="D43" s="5"/>
      <x:c r="E43" s="5"/>
      <x:c r="F43" s="5"/>
      <x:c r="G43" s="5"/>
      <x:c r="H43" s="5"/>
      <x:c r="I43" s="5"/>
      <x:c r="J43" s="5"/>
      <x:c r="K43" s="5"/>
      <x:c r="L43" s="5"/>
      <x:c r="M43" s="3"/>
      <x:c r="N43" s="78"/>
    </x:row>
    <x:row r="44" ht="21" customHeight="1">
      <x:c r="A44" s="3"/>
      <x:c r="B44" s="3"/>
      <x:c r="C44" s="5"/>
      <x:c r="D44" s="5"/>
      <x:c r="E44" s="5"/>
      <x:c r="F44" s="5"/>
      <x:c r="G44" s="5"/>
      <x:c r="H44" s="5"/>
      <x:c r="I44" s="5"/>
      <x:c r="J44" s="5"/>
      <x:c r="K44" s="5"/>
      <x:c r="L44" s="5"/>
      <x:c r="M44" s="3"/>
      <x:c r="N44" s="78"/>
    </x:row>
    <x:row r="45" ht="21" customHeight="1">
      <x:c r="A45" s="3"/>
      <x:c r="B45" s="3"/>
      <x:c r="C45" s="5"/>
      <x:c r="D45" s="5"/>
      <x:c r="E45" s="5"/>
      <x:c r="F45" s="5"/>
      <x:c r="G45" s="5"/>
      <x:c r="H45" s="5"/>
      <x:c r="I45" s="5"/>
      <x:c r="J45" s="5"/>
      <x:c r="K45" s="5"/>
      <x:c r="L45" s="5"/>
      <x:c r="M45" s="3"/>
      <x:c r="N45" s="78"/>
    </x:row>
    <x:row r="46" ht="21" customHeight="1">
      <x:c r="A46" s="3"/>
      <x:c r="B46" s="3"/>
      <x:c r="C46" s="5"/>
      <x:c r="D46" s="5"/>
      <x:c r="E46" s="5"/>
      <x:c r="F46" s="5"/>
      <x:c r="G46" s="5"/>
      <x:c r="H46" s="5"/>
      <x:c r="I46" s="5"/>
      <x:c r="J46" s="5"/>
      <x:c r="K46" s="5"/>
      <x:c r="L46" s="5"/>
      <x:c r="M46" s="3"/>
      <x:c r="N46" s="78"/>
    </x:row>
    <x:row r="47" ht="21" customHeight="1">
      <x:c r="A47" s="3"/>
      <x:c r="B47" s="3"/>
      <x:c r="C47" s="5"/>
      <x:c r="D47" s="5"/>
      <x:c r="E47" s="5"/>
      <x:c r="F47" s="5"/>
      <x:c r="G47" s="5"/>
      <x:c r="H47" s="5"/>
      <x:c r="I47" s="5"/>
      <x:c r="J47" s="5"/>
      <x:c r="K47" s="5"/>
      <x:c r="L47" s="5"/>
      <x:c r="M47" s="3"/>
      <x:c r="N47" s="78"/>
    </x:row>
    <x:row r="48" ht="21" customHeight="1">
      <x:c r="A48" s="3"/>
      <x:c r="B48" s="3"/>
      <x:c r="C48" s="5"/>
      <x:c r="D48" s="5"/>
      <x:c r="E48" s="5"/>
      <x:c r="F48" s="5"/>
      <x:c r="G48" s="5"/>
      <x:c r="H48" s="5"/>
      <x:c r="I48" s="5"/>
      <x:c r="J48" s="5"/>
      <x:c r="K48" s="5"/>
      <x:c r="L48" s="5"/>
      <x:c r="M48" s="3"/>
      <x:c r="N48" s="78"/>
    </x:row>
    <x:row r="49" ht="21" customHeight="1">
      <x:c r="A49" s="3"/>
      <x:c r="B49" s="3"/>
      <x:c r="C49" s="5"/>
      <x:c r="D49" s="5"/>
      <x:c r="E49" s="5"/>
      <x:c r="F49" s="5"/>
      <x:c r="G49" s="5"/>
      <x:c r="H49" s="5"/>
      <x:c r="I49" s="5"/>
      <x:c r="J49" s="5"/>
      <x:c r="K49" s="5"/>
      <x:c r="L49" s="5"/>
      <x:c r="M49" s="3"/>
      <x:c r="N49" s="78"/>
    </x:row>
    <x:row r="50" ht="21" customHeight="1">
      <x:c r="A50" s="3"/>
      <x:c r="B50" s="3"/>
      <x:c r="C50" s="5"/>
      <x:c r="D50" s="5"/>
      <x:c r="E50" s="5"/>
      <x:c r="F50" s="5"/>
      <x:c r="G50" s="5"/>
      <x:c r="H50" s="5"/>
      <x:c r="I50" s="5"/>
      <x:c r="J50" s="5"/>
      <x:c r="K50" s="5"/>
      <x:c r="L50" s="5"/>
      <x:c r="M50" s="3"/>
      <x:c r="N50" s="78"/>
    </x:row>
    <x:row r="51" ht="21" customHeight="1">
      <x:c r="A51" s="3"/>
      <x:c r="B51" s="3"/>
      <x:c r="C51" s="5"/>
      <x:c r="D51" s="5"/>
      <x:c r="E51" s="5"/>
      <x:c r="F51" s="5"/>
      <x:c r="G51" s="5"/>
      <x:c r="H51" s="5"/>
      <x:c r="I51" s="5"/>
      <x:c r="J51" s="5"/>
      <x:c r="K51" s="5"/>
      <x:c r="L51" s="5"/>
      <x:c r="M51" s="3"/>
      <x:c r="N51" s="78"/>
    </x:row>
    <x:row r="52" ht="21" customHeight="1">
      <x:c r="A52" s="3"/>
      <x:c r="B52" s="3"/>
      <x:c r="C52" s="5"/>
      <x:c r="D52" s="5"/>
      <x:c r="E52" s="5"/>
      <x:c r="F52" s="5"/>
      <x:c r="G52" s="5"/>
      <x:c r="H52" s="5"/>
      <x:c r="I52" s="5"/>
      <x:c r="J52" s="5"/>
      <x:c r="K52" s="5"/>
      <x:c r="L52" s="5"/>
      <x:c r="M52" s="3"/>
      <x:c r="N52" s="78"/>
    </x:row>
    <x:row r="53" ht="21" customHeight="1">
      <x:c r="A53" s="3"/>
      <x:c r="B53" s="3"/>
      <x:c r="C53" s="5"/>
      <x:c r="D53" s="5"/>
      <x:c r="E53" s="5"/>
      <x:c r="F53" s="5"/>
      <x:c r="G53" s="5"/>
      <x:c r="H53" s="5"/>
      <x:c r="I53" s="5"/>
      <x:c r="J53" s="5"/>
      <x:c r="K53" s="5"/>
      <x:c r="L53" s="5"/>
      <x:c r="M53" s="3"/>
      <x:c r="N53" s="78"/>
    </x:row>
    <x:row r="54" ht="21" customHeight="1">
      <x:c r="A54" s="3"/>
      <x:c r="B54" s="3"/>
      <x:c r="C54" s="5"/>
      <x:c r="D54" s="5"/>
      <x:c r="E54" s="5"/>
      <x:c r="F54" s="5"/>
      <x:c r="G54" s="5"/>
      <x:c r="H54" s="5"/>
      <x:c r="I54" s="5"/>
      <x:c r="J54" s="5"/>
      <x:c r="K54" s="5"/>
      <x:c r="L54" s="5"/>
      <x:c r="M54" s="3"/>
      <x:c r="N54" s="78"/>
    </x:row>
    <x:row r="55" ht="21" customHeight="1">
      <x:c r="A55" s="3"/>
      <x:c r="B55" s="3"/>
      <x:c r="C55" s="5"/>
      <x:c r="D55" s="5"/>
      <x:c r="E55" s="5"/>
      <x:c r="F55" s="5"/>
      <x:c r="G55" s="5"/>
      <x:c r="H55" s="5"/>
      <x:c r="I55" s="5"/>
      <x:c r="J55" s="5"/>
      <x:c r="K55" s="5"/>
      <x:c r="L55" s="5"/>
      <x:c r="M55" s="3"/>
      <x:c r="N55" s="78"/>
    </x:row>
    <x:row r="56" ht="21" customHeight="1">
      <x:c r="A56" s="3"/>
      <x:c r="B56" s="3"/>
      <x:c r="C56" s="5"/>
      <x:c r="D56" s="5"/>
      <x:c r="E56" s="5"/>
      <x:c r="F56" s="5"/>
      <x:c r="G56" s="5"/>
      <x:c r="H56" s="5"/>
      <x:c r="I56" s="5"/>
      <x:c r="J56" s="5"/>
      <x:c r="K56" s="5"/>
      <x:c r="L56" s="5"/>
      <x:c r="M56" s="3"/>
      <x:c r="N56" s="78"/>
    </x:row>
    <x:row r="57" ht="21" customHeight="1">
      <x:c r="A57" s="3"/>
      <x:c r="B57" s="3"/>
      <x:c r="C57" s="5"/>
      <x:c r="D57" s="5"/>
      <x:c r="E57" s="5"/>
      <x:c r="F57" s="5"/>
      <x:c r="G57" s="5"/>
      <x:c r="H57" s="5"/>
      <x:c r="I57" s="5"/>
      <x:c r="J57" s="5"/>
      <x:c r="K57" s="5"/>
      <x:c r="L57" s="5"/>
      <x:c r="M57" s="3"/>
      <x:c r="N57" s="78"/>
    </x:row>
    <x:row r="58" ht="21" customHeight="1">
      <x:c r="A58" s="3"/>
      <x:c r="B58" s="3"/>
      <x:c r="C58" s="5"/>
      <x:c r="D58" s="5"/>
      <x:c r="E58" s="5"/>
      <x:c r="F58" s="5"/>
      <x:c r="G58" s="5"/>
      <x:c r="H58" s="5"/>
      <x:c r="I58" s="5"/>
      <x:c r="J58" s="5"/>
      <x:c r="K58" s="5"/>
      <x:c r="L58" s="5"/>
      <x:c r="M58" s="3"/>
      <x:c r="N58" s="78"/>
    </x:row>
    <x:row r="59" ht="21" customHeight="1">
      <x:c r="A59" s="3"/>
      <x:c r="B59" s="3"/>
      <x:c r="C59" s="5"/>
      <x:c r="D59" s="5"/>
      <x:c r="E59" s="5"/>
      <x:c r="F59" s="5"/>
      <x:c r="G59" s="5"/>
      <x:c r="H59" s="5"/>
      <x:c r="I59" s="5"/>
      <x:c r="J59" s="5"/>
      <x:c r="K59" s="5"/>
      <x:c r="L59" s="5"/>
      <x:c r="M59" s="3"/>
      <x:c r="N59" s="78"/>
    </x:row>
    <x:row r="60" ht="21" customHeight="1">
      <x:c r="A60" s="3"/>
      <x:c r="B60" s="3"/>
      <x:c r="C60" s="5"/>
      <x:c r="D60" s="5"/>
      <x:c r="E60" s="5"/>
      <x:c r="F60" s="5"/>
      <x:c r="G60" s="5"/>
      <x:c r="H60" s="5"/>
      <x:c r="I60" s="5"/>
      <x:c r="J60" s="5"/>
      <x:c r="K60" s="5"/>
      <x:c r="L60" s="5"/>
      <x:c r="M60" s="3"/>
      <x:c r="N60" s="78"/>
    </x:row>
    <x:row r="61" ht="21" customHeight="1">
      <x:c r="A61" s="3"/>
      <x:c r="B61" s="3"/>
      <x:c r="C61" s="5"/>
      <x:c r="D61" s="5"/>
      <x:c r="E61" s="5"/>
      <x:c r="F61" s="5"/>
      <x:c r="G61" s="5"/>
      <x:c r="H61" s="5"/>
      <x:c r="I61" s="5"/>
      <x:c r="J61" s="5"/>
      <x:c r="K61" s="5"/>
      <x:c r="L61" s="5"/>
      <x:c r="M61" s="3"/>
      <x:c r="N61" s="78"/>
    </x:row>
    <x:row r="62" ht="21" customHeight="1">
      <x:c r="A62" s="3"/>
      <x:c r="B62" s="3"/>
      <x:c r="C62" s="5"/>
      <x:c r="D62" s="5"/>
      <x:c r="E62" s="5"/>
      <x:c r="F62" s="5"/>
      <x:c r="G62" s="5"/>
      <x:c r="H62" s="5"/>
      <x:c r="I62" s="5"/>
      <x:c r="J62" s="5"/>
      <x:c r="K62" s="5"/>
      <x:c r="L62" s="5"/>
      <x:c r="M62" s="3"/>
      <x:c r="N62" s="78"/>
    </x:row>
    <x:row r="63" ht="21" customHeight="1">
      <x:c r="A63" s="3"/>
      <x:c r="B63" s="3"/>
      <x:c r="C63" s="5"/>
      <x:c r="D63" s="5"/>
      <x:c r="E63" s="5"/>
      <x:c r="F63" s="5"/>
      <x:c r="G63" s="5"/>
      <x:c r="H63" s="5"/>
      <x:c r="I63" s="5"/>
      <x:c r="J63" s="5"/>
      <x:c r="K63" s="5"/>
      <x:c r="L63" s="5"/>
      <x:c r="M63" s="3"/>
      <x:c r="N63" s="78"/>
    </x:row>
    <x:row r="64" ht="21" customHeight="1">
      <x:c r="A64" s="3"/>
      <x:c r="B64" s="3"/>
      <x:c r="C64" s="5"/>
      <x:c r="D64" s="5"/>
      <x:c r="E64" s="5"/>
      <x:c r="F64" s="5"/>
      <x:c r="G64" s="5"/>
      <x:c r="H64" s="5"/>
      <x:c r="I64" s="5"/>
      <x:c r="J64" s="5"/>
      <x:c r="K64" s="5"/>
      <x:c r="L64" s="5"/>
      <x:c r="M64" s="3"/>
      <x:c r="N64" s="78"/>
    </x:row>
    <x:row r="65" ht="21" customHeight="1">
      <x:c r="A65" s="3"/>
      <x:c r="B65" s="3"/>
      <x:c r="C65" s="5"/>
      <x:c r="D65" s="5"/>
      <x:c r="E65" s="5"/>
      <x:c r="F65" s="5"/>
      <x:c r="G65" s="5"/>
      <x:c r="H65" s="5"/>
      <x:c r="I65" s="5"/>
      <x:c r="J65" s="5"/>
      <x:c r="K65" s="5"/>
      <x:c r="L65" s="5"/>
      <x:c r="M65" s="3"/>
      <x:c r="N65" s="78"/>
    </x:row>
    <x:row r="66" ht="21" customHeight="1">
      <x:c r="A66" s="3"/>
      <x:c r="B66" s="3"/>
      <x:c r="C66" s="5"/>
      <x:c r="D66" s="5"/>
      <x:c r="E66" s="5"/>
      <x:c r="F66" s="5"/>
      <x:c r="G66" s="5"/>
      <x:c r="H66" s="5"/>
      <x:c r="I66" s="5"/>
      <x:c r="J66" s="5"/>
      <x:c r="K66" s="5"/>
      <x:c r="L66" s="5"/>
      <x:c r="M66" s="3"/>
      <x:c r="N66" s="78"/>
    </x:row>
    <x:row r="67" ht="21" customHeight="1">
      <x:c r="A67" s="3"/>
      <x:c r="B67" s="3"/>
      <x:c r="C67" s="5"/>
      <x:c r="D67" s="5"/>
      <x:c r="E67" s="5"/>
      <x:c r="F67" s="5"/>
      <x:c r="G67" s="5"/>
      <x:c r="H67" s="5"/>
      <x:c r="I67" s="5"/>
      <x:c r="J67" s="5"/>
      <x:c r="K67" s="5"/>
      <x:c r="L67" s="5"/>
      <x:c r="M67" s="3"/>
      <x:c r="N67" s="78"/>
    </x:row>
    <x:row r="68" ht="21" customHeight="1">
      <x:c r="A68" s="3"/>
      <x:c r="B68" s="3"/>
      <x:c r="C68" s="5"/>
      <x:c r="D68" s="5"/>
      <x:c r="E68" s="5"/>
      <x:c r="F68" s="5"/>
      <x:c r="G68" s="5"/>
      <x:c r="H68" s="5"/>
      <x:c r="I68" s="5"/>
      <x:c r="J68" s="5"/>
      <x:c r="K68" s="5"/>
      <x:c r="L68" s="5"/>
      <x:c r="M68" s="3"/>
      <x:c r="N68" s="78"/>
    </x:row>
    <x:row r="69" ht="21" customHeight="1">
      <x:c r="A69" s="3"/>
      <x:c r="B69" s="3"/>
      <x:c r="C69" s="5"/>
      <x:c r="D69" s="5"/>
      <x:c r="E69" s="5"/>
      <x:c r="F69" s="5"/>
      <x:c r="G69" s="5"/>
      <x:c r="H69" s="5"/>
      <x:c r="I69" s="5"/>
      <x:c r="J69" s="5"/>
      <x:c r="K69" s="5"/>
      <x:c r="L69" s="5"/>
      <x:c r="M69" s="3"/>
      <x:c r="N69" s="78"/>
    </x:row>
    <x:row r="70" ht="21" customHeight="1">
      <x:c r="A70" s="3"/>
      <x:c r="B70" s="3"/>
      <x:c r="C70" s="5"/>
      <x:c r="D70" s="5"/>
      <x:c r="E70" s="5"/>
      <x:c r="F70" s="5"/>
      <x:c r="G70" s="5"/>
      <x:c r="H70" s="5"/>
      <x:c r="I70" s="5"/>
      <x:c r="J70" s="5"/>
      <x:c r="K70" s="5"/>
      <x:c r="L70" s="5"/>
      <x:c r="M70" s="3"/>
      <x:c r="N70" s="78"/>
    </x:row>
    <x:row r="71" ht="21" customHeight="1">
      <x:c r="A71" s="3"/>
      <x:c r="B71" s="3"/>
      <x:c r="C71" s="5"/>
      <x:c r="D71" s="5"/>
      <x:c r="E71" s="5"/>
      <x:c r="F71" s="5"/>
      <x:c r="G71" s="5"/>
      <x:c r="H71" s="5"/>
      <x:c r="I71" s="5"/>
      <x:c r="J71" s="5"/>
      <x:c r="K71" s="5"/>
      <x:c r="L71" s="5"/>
      <x:c r="M71" s="3"/>
      <x:c r="N71" s="78"/>
    </x:row>
    <x:row r="72" ht="21" customHeight="1">
      <x:c r="A72" s="3"/>
      <x:c r="B72" s="3"/>
      <x:c r="C72" s="5"/>
      <x:c r="D72" s="5"/>
      <x:c r="E72" s="5"/>
      <x:c r="F72" s="5"/>
      <x:c r="G72" s="5"/>
      <x:c r="H72" s="5"/>
      <x:c r="I72" s="5"/>
      <x:c r="J72" s="5"/>
      <x:c r="K72" s="5"/>
      <x:c r="L72" s="5"/>
      <x:c r="M72" s="3"/>
      <x:c r="N72" s="78"/>
    </x:row>
    <x:row r="73" ht="21" customHeight="1">
      <x:c r="A73" s="3"/>
      <x:c r="B73" s="3"/>
      <x:c r="C73" s="5"/>
      <x:c r="D73" s="5"/>
      <x:c r="E73" s="5"/>
      <x:c r="F73" s="5"/>
      <x:c r="G73" s="5"/>
      <x:c r="H73" s="5"/>
      <x:c r="I73" s="5"/>
      <x:c r="J73" s="5"/>
      <x:c r="K73" s="5"/>
      <x:c r="L73" s="5"/>
      <x:c r="M73" s="3"/>
      <x:c r="N73" s="78"/>
    </x:row>
    <x:row r="74" ht="21" customHeight="1">
      <x:c r="A74" s="3"/>
      <x:c r="B74" s="3"/>
      <x:c r="C74" s="5"/>
      <x:c r="D74" s="5"/>
      <x:c r="E74" s="5"/>
      <x:c r="F74" s="5"/>
      <x:c r="G74" s="5"/>
      <x:c r="H74" s="5"/>
      <x:c r="I74" s="5"/>
      <x:c r="J74" s="5"/>
      <x:c r="K74" s="5"/>
      <x:c r="L74" s="5"/>
      <x:c r="M74" s="3"/>
      <x:c r="N74" s="78"/>
    </x:row>
    <x:row r="75" ht="21" customHeight="1">
      <x:c r="A75" s="3"/>
      <x:c r="B75" s="3"/>
      <x:c r="C75" s="5"/>
      <x:c r="D75" s="5"/>
      <x:c r="E75" s="5"/>
      <x:c r="F75" s="5"/>
      <x:c r="G75" s="5"/>
      <x:c r="H75" s="5"/>
      <x:c r="I75" s="5"/>
      <x:c r="J75" s="5"/>
      <x:c r="K75" s="5"/>
      <x:c r="L75" s="5"/>
      <x:c r="M75" s="3"/>
      <x:c r="N75" s="78"/>
    </x:row>
    <x:row r="76" ht="21" customHeight="1">
      <x:c r="A76" s="3"/>
      <x:c r="B76" s="3"/>
      <x:c r="C76" s="5"/>
      <x:c r="D76" s="5"/>
      <x:c r="E76" s="5"/>
      <x:c r="F76" s="5"/>
      <x:c r="G76" s="5"/>
      <x:c r="H76" s="5"/>
      <x:c r="I76" s="5"/>
      <x:c r="J76" s="5"/>
      <x:c r="K76" s="5"/>
      <x:c r="L76" s="5"/>
      <x:c r="M76" s="3"/>
      <x:c r="N76" s="78"/>
    </x:row>
    <x:row r="77" ht="21" customHeight="1">
      <x:c r="A77" s="3"/>
      <x:c r="B77" s="3"/>
      <x:c r="C77" s="5"/>
      <x:c r="D77" s="5"/>
      <x:c r="E77" s="5"/>
      <x:c r="F77" s="5"/>
      <x:c r="G77" s="5"/>
      <x:c r="H77" s="5"/>
      <x:c r="I77" s="5"/>
      <x:c r="J77" s="5"/>
      <x:c r="K77" s="5"/>
      <x:c r="L77" s="5"/>
      <x:c r="M77" s="3"/>
      <x:c r="N77" s="78"/>
    </x:row>
    <x:row r="78" ht="21" customHeight="1">
      <x:c r="A78" s="3"/>
      <x:c r="B78" s="3"/>
      <x:c r="C78" s="5"/>
      <x:c r="D78" s="5"/>
      <x:c r="E78" s="5"/>
      <x:c r="F78" s="5"/>
      <x:c r="G78" s="5"/>
      <x:c r="H78" s="5"/>
      <x:c r="I78" s="5"/>
      <x:c r="J78" s="5"/>
      <x:c r="K78" s="5"/>
      <x:c r="L78" s="5"/>
      <x:c r="M78" s="3"/>
      <x:c r="N78" s="78"/>
    </x:row>
    <x:row r="79" ht="21" customHeight="1">
      <x:c r="A79" s="3"/>
      <x:c r="B79" s="3"/>
      <x:c r="C79" s="5"/>
      <x:c r="D79" s="5"/>
      <x:c r="E79" s="5"/>
      <x:c r="F79" s="5"/>
      <x:c r="G79" s="5"/>
      <x:c r="H79" s="5"/>
      <x:c r="I79" s="5"/>
      <x:c r="J79" s="5"/>
      <x:c r="K79" s="5"/>
      <x:c r="L79" s="5"/>
      <x:c r="M79" s="3"/>
      <x:c r="N79" s="78"/>
    </x:row>
    <x:row r="80" ht="21" customHeight="1">
      <x:c r="A80" s="3"/>
      <x:c r="B80" s="3"/>
      <x:c r="C80" s="5"/>
      <x:c r="D80" s="5"/>
      <x:c r="E80" s="5"/>
      <x:c r="F80" s="5"/>
      <x:c r="G80" s="5"/>
      <x:c r="H80" s="5"/>
      <x:c r="I80" s="5"/>
      <x:c r="J80" s="5"/>
      <x:c r="K80" s="5"/>
      <x:c r="L80" s="5"/>
      <x:c r="M80" s="3"/>
      <x:c r="N80" s="78"/>
    </x:row>
    <x:row r="81" ht="21" customHeight="1">
      <x:c r="A81" s="3"/>
      <x:c r="B81" s="3"/>
      <x:c r="C81" s="5"/>
      <x:c r="D81" s="5"/>
      <x:c r="E81" s="5"/>
      <x:c r="F81" s="5"/>
      <x:c r="G81" s="5"/>
      <x:c r="H81" s="5"/>
      <x:c r="I81" s="5"/>
      <x:c r="J81" s="5"/>
      <x:c r="K81" s="5"/>
      <x:c r="L81" s="5"/>
      <x:c r="M81" s="3"/>
      <x:c r="N81" s="78"/>
    </x:row>
    <x:row r="82" ht="21" customHeight="1">
      <x:c r="A82" s="3"/>
      <x:c r="B82" s="3"/>
      <x:c r="C82" s="5"/>
      <x:c r="D82" s="5"/>
      <x:c r="E82" s="5"/>
      <x:c r="F82" s="5"/>
      <x:c r="G82" s="5"/>
      <x:c r="H82" s="5"/>
      <x:c r="I82" s="5"/>
      <x:c r="J82" s="5"/>
      <x:c r="K82" s="5"/>
      <x:c r="L82" s="5"/>
      <x:c r="M82" s="3"/>
      <x:c r="N82" s="78"/>
    </x:row>
    <x:row r="83" ht="21" customHeight="1">
      <x:c r="A83" s="3"/>
      <x:c r="B83" s="3"/>
      <x:c r="C83" s="5"/>
      <x:c r="D83" s="5"/>
      <x:c r="E83" s="5"/>
      <x:c r="F83" s="5"/>
      <x:c r="G83" s="5"/>
      <x:c r="H83" s="5"/>
      <x:c r="I83" s="5"/>
      <x:c r="J83" s="5"/>
      <x:c r="K83" s="5"/>
      <x:c r="L83" s="5"/>
      <x:c r="M83" s="3"/>
      <x:c r="N83" s="78"/>
    </x:row>
    <x:row r="84" ht="21" customHeight="1">
      <x:c r="A84" s="3"/>
      <x:c r="B84" s="3"/>
      <x:c r="C84" s="5"/>
      <x:c r="D84" s="5"/>
      <x:c r="E84" s="5"/>
      <x:c r="F84" s="5"/>
      <x:c r="G84" s="5"/>
      <x:c r="H84" s="5"/>
      <x:c r="I84" s="5"/>
      <x:c r="J84" s="5"/>
      <x:c r="K84" s="5"/>
      <x:c r="L84" s="5"/>
      <x:c r="M84" s="3"/>
      <x:c r="N84" s="78"/>
    </x:row>
    <x:row r="85" ht="21" customHeight="1">
      <x:c r="A85" s="3"/>
      <x:c r="B85" s="3"/>
      <x:c r="C85" s="5"/>
      <x:c r="D85" s="5"/>
      <x:c r="E85" s="5"/>
      <x:c r="F85" s="5"/>
      <x:c r="G85" s="5"/>
      <x:c r="H85" s="5"/>
      <x:c r="I85" s="5"/>
      <x:c r="J85" s="5"/>
      <x:c r="K85" s="5"/>
      <x:c r="L85" s="5"/>
      <x:c r="M85" s="3"/>
      <x:c r="N85" s="78"/>
    </x:row>
    <x:row r="86" ht="21" customHeight="1">
      <x:c r="A86" s="3"/>
      <x:c r="B86" s="3"/>
      <x:c r="C86" s="5"/>
      <x:c r="D86" s="5"/>
      <x:c r="E86" s="5"/>
      <x:c r="F86" s="5"/>
      <x:c r="G86" s="5"/>
      <x:c r="H86" s="5"/>
      <x:c r="I86" s="5"/>
      <x:c r="J86" s="5"/>
      <x:c r="K86" s="5"/>
      <x:c r="L86" s="5"/>
      <x:c r="M86" s="3"/>
      <x:c r="N86" s="78"/>
    </x:row>
    <x:row r="87" ht="21" customHeight="1">
      <x:c r="A87" s="3"/>
      <x:c r="B87" s="3"/>
      <x:c r="C87" s="5"/>
      <x:c r="D87" s="5"/>
      <x:c r="E87" s="5"/>
      <x:c r="F87" s="5"/>
      <x:c r="G87" s="5"/>
      <x:c r="H87" s="5"/>
      <x:c r="I87" s="5"/>
      <x:c r="J87" s="5"/>
      <x:c r="K87" s="5"/>
      <x:c r="L87" s="5"/>
      <x:c r="M87" s="3"/>
      <x:c r="N87" s="78"/>
    </x:row>
    <x:row r="88" ht="21" customHeight="1">
      <x:c r="A88" s="3"/>
      <x:c r="B88" s="3"/>
      <x:c r="C88" s="5"/>
      <x:c r="D88" s="5"/>
      <x:c r="E88" s="5"/>
      <x:c r="F88" s="5"/>
      <x:c r="G88" s="5"/>
      <x:c r="H88" s="5"/>
      <x:c r="I88" s="5"/>
      <x:c r="J88" s="5"/>
      <x:c r="K88" s="5"/>
      <x:c r="L88" s="5"/>
      <x:c r="M88" s="3"/>
      <x:c r="N88" s="78"/>
    </x:row>
    <x:row r="89" ht="21" customHeight="1">
      <x:c r="A89" s="3"/>
      <x:c r="B89" s="3"/>
      <x:c r="C89" s="5"/>
      <x:c r="D89" s="5"/>
      <x:c r="E89" s="5"/>
      <x:c r="F89" s="5"/>
      <x:c r="G89" s="5"/>
      <x:c r="H89" s="5"/>
      <x:c r="I89" s="5"/>
      <x:c r="J89" s="5"/>
      <x:c r="K89" s="5"/>
      <x:c r="L89" s="5"/>
      <x:c r="M89" s="3"/>
      <x:c r="N89" s="78"/>
    </x:row>
    <x:row r="90" ht="21" customHeight="1">
      <x:c r="A90" s="3"/>
      <x:c r="B90" s="3"/>
      <x:c r="C90" s="5"/>
      <x:c r="D90" s="5"/>
      <x:c r="E90" s="5"/>
      <x:c r="F90" s="5"/>
      <x:c r="G90" s="5"/>
      <x:c r="H90" s="5"/>
      <x:c r="I90" s="5"/>
      <x:c r="J90" s="5"/>
      <x:c r="K90" s="5"/>
      <x:c r="L90" s="5"/>
      <x:c r="M90" s="3"/>
      <x:c r="N90" s="78"/>
    </x:row>
    <x:row r="91" ht="21" customHeight="1">
      <x:c r="A91" s="3"/>
      <x:c r="B91" s="3"/>
      <x:c r="C91" s="5"/>
      <x:c r="D91" s="5"/>
      <x:c r="E91" s="5"/>
      <x:c r="F91" s="5"/>
      <x:c r="G91" s="5"/>
      <x:c r="H91" s="5"/>
      <x:c r="I91" s="5"/>
      <x:c r="J91" s="5"/>
      <x:c r="K91" s="5"/>
      <x:c r="L91" s="5"/>
      <x:c r="M91" s="3"/>
      <x:c r="N91" s="78"/>
    </x:row>
    <x:row r="92" ht="21" customHeight="1">
      <x:c r="A92" s="3"/>
      <x:c r="B92" s="3"/>
      <x:c r="C92" s="5"/>
      <x:c r="D92" s="5"/>
      <x:c r="E92" s="5"/>
      <x:c r="F92" s="5"/>
      <x:c r="G92" s="5"/>
      <x:c r="H92" s="5"/>
      <x:c r="I92" s="5"/>
      <x:c r="J92" s="5"/>
      <x:c r="K92" s="5"/>
      <x:c r="L92" s="5"/>
      <x:c r="M92" s="3"/>
      <x:c r="N92" s="78"/>
    </x:row>
    <x:row r="93" ht="21" customHeight="1">
      <x:c r="A93" s="3"/>
      <x:c r="B93" s="3"/>
      <x:c r="C93" s="5"/>
      <x:c r="D93" s="5"/>
      <x:c r="E93" s="5"/>
      <x:c r="F93" s="5"/>
      <x:c r="G93" s="5"/>
      <x:c r="H93" s="5"/>
      <x:c r="I93" s="5"/>
      <x:c r="J93" s="5"/>
      <x:c r="K93" s="5"/>
      <x:c r="L93" s="5"/>
      <x:c r="M93" s="3"/>
      <x:c r="N93" s="78"/>
    </x:row>
    <x:row r="94" ht="21" customHeight="1">
      <x:c r="A94" s="3"/>
      <x:c r="B94" s="3"/>
      <x:c r="C94" s="5"/>
      <x:c r="D94" s="5"/>
      <x:c r="E94" s="5"/>
      <x:c r="F94" s="5"/>
      <x:c r="G94" s="5"/>
      <x:c r="H94" s="5"/>
      <x:c r="I94" s="5"/>
      <x:c r="J94" s="5"/>
      <x:c r="K94" s="5"/>
      <x:c r="L94" s="5"/>
      <x:c r="M94" s="3"/>
      <x:c r="N94" s="78"/>
    </x:row>
    <x:row r="95" ht="21" customHeight="1">
      <x:c r="A95" s="3"/>
      <x:c r="B95" s="3"/>
      <x:c r="C95" s="5"/>
      <x:c r="D95" s="5"/>
      <x:c r="E95" s="5"/>
      <x:c r="F95" s="5"/>
      <x:c r="G95" s="5"/>
      <x:c r="H95" s="5"/>
      <x:c r="I95" s="5"/>
      <x:c r="J95" s="5"/>
      <x:c r="K95" s="5"/>
      <x:c r="L95" s="5"/>
      <x:c r="M95" s="3"/>
      <x:c r="N95" s="78"/>
    </x:row>
    <x:row r="96" ht="21" customHeight="1">
      <x:c r="A96" s="3"/>
      <x:c r="B96" s="3"/>
      <x:c r="C96" s="5"/>
      <x:c r="D96" s="5"/>
      <x:c r="E96" s="5"/>
      <x:c r="F96" s="5"/>
      <x:c r="G96" s="5"/>
      <x:c r="H96" s="5"/>
      <x:c r="I96" s="5"/>
      <x:c r="J96" s="5"/>
      <x:c r="K96" s="5"/>
      <x:c r="L96" s="5"/>
      <x:c r="M96" s="3"/>
      <x:c r="N96" s="78"/>
    </x:row>
    <x:row r="97" ht="21" customHeight="1">
      <x:c r="A97" s="3"/>
      <x:c r="B97" s="3"/>
      <x:c r="C97" s="5"/>
      <x:c r="D97" s="5"/>
      <x:c r="E97" s="5"/>
      <x:c r="F97" s="5"/>
      <x:c r="G97" s="5"/>
      <x:c r="H97" s="5"/>
      <x:c r="I97" s="5"/>
      <x:c r="J97" s="5"/>
      <x:c r="K97" s="5"/>
      <x:c r="L97" s="5"/>
      <x:c r="M97" s="3"/>
      <x:c r="N97" s="78"/>
    </x:row>
    <x:row r="98" ht="21" customHeight="1">
      <x:c r="A98" s="3"/>
      <x:c r="B98" s="3"/>
      <x:c r="C98" s="5"/>
      <x:c r="D98" s="5"/>
      <x:c r="E98" s="5"/>
      <x:c r="F98" s="5"/>
      <x:c r="G98" s="5"/>
      <x:c r="H98" s="5"/>
      <x:c r="I98" s="5"/>
      <x:c r="J98" s="5"/>
      <x:c r="K98" s="5"/>
      <x:c r="L98" s="5"/>
      <x:c r="M98" s="3"/>
      <x:c r="N98" s="78"/>
    </x:row>
    <x:row r="99" ht="21" customHeight="1">
      <x:c r="A99" s="3"/>
      <x:c r="B99" s="3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3"/>
      <x:c r="N99" s="78"/>
    </x:row>
    <x:row r="100" ht="21" customHeight="1">
      <x:c r="A100" s="3"/>
      <x:c r="B100" s="3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3"/>
      <x:c r="N100" s="78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4" hidden="0" customWidth="1"/>
    <x:col min="2" max="2" width="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3" hidden="0" customWidth="1"/>
    <x:col min="14" max="14" width="58" hidden="0" customWidth="1"/>
  </x:cols>
  <x:sheetData>
    <x:row r="1" ht="21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78"/>
    </x:row>
    <x:row r="2" ht="21" customHeight="1">
      <x:c r="A2" s="8" t="str">
        <x:v>Balance Sheet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78"/>
    </x:row>
    <x:row r="3" ht="21" customHeight="1">
      <x:c r="A3" s="6" t="str">
        <x:v>Consolidated. ₹ crore except per-share values.</x:v>
      </x:c>
      <x:c r="B3" s="3"/>
      <x:c r="C3" s="3"/>
      <x:c r="D3" s="3"/>
      <x:c r="E3" s="3"/>
      <x:c r="F3" s="3"/>
      <x:c r="G3" s="3"/>
      <x:c r="H3" s="6" t="str">
        <x:v>Selected case</x:v>
      </x:c>
      <x:c r="I3" s="3"/>
      <x:c r="J3" s="14" t="str">
        <x:f>'02_Assumptions'!E3</x:f>
        <x:v>Base</x:v>
      </x:c>
      <x:c r="K3" s="3"/>
      <x:c r="L3" s="3"/>
      <x:c r="M3" s="3"/>
      <x:c r="N3" s="78"/>
    </x:row>
    <x:row r="4" ht="21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78"/>
    </x:row>
    <x:row r="5" ht="24" customHeight="1">
      <x:c r="A5" s="12" t="str">
        <x:v>Line item</x:v>
      </x:c>
      <x:c r="B5" s="12"/>
      <x:c r="C5" s="12" t="str">
        <x:v>FY2022A</x:v>
      </x:c>
      <x:c r="D5" s="12" t="str">
        <x:v>FY2023A</x:v>
      </x:c>
      <x:c r="E5" s="12" t="str">
        <x:v>FY2024A</x:v>
      </x:c>
      <x:c r="F5" s="12" t="str">
        <x:v>FY2025A</x:v>
      </x:c>
      <x:c r="G5" s="12" t="str">
        <x:v>FY2026A</x:v>
      </x:c>
      <x:c r="H5" s="12" t="str">
        <x:v>FY2027E</x:v>
      </x:c>
      <x:c r="I5" s="12" t="str">
        <x:v>FY2028E</x:v>
      </x:c>
      <x:c r="J5" s="12" t="str">
        <x:v>FY2029E</x:v>
      </x:c>
      <x:c r="K5" s="12" t="str">
        <x:v>FY2030E</x:v>
      </x:c>
      <x:c r="L5" s="12" t="str">
        <x:v>FY2031E</x:v>
      </x:c>
      <x:c r="M5" s="3"/>
      <x:c r="N5" s="78"/>
    </x:row>
    <x:row r="6" ht="21" customHeight="1">
      <x:c r="A6" s="3"/>
      <x:c r="B6" s="3"/>
      <x:c r="C6" s="5"/>
      <x:c r="D6" s="5"/>
      <x:c r="E6" s="5"/>
      <x:c r="F6" s="5"/>
      <x:c r="G6" s="5"/>
      <x:c r="H6" s="5"/>
      <x:c r="I6" s="5"/>
      <x:c r="J6" s="5"/>
      <x:c r="K6" s="5"/>
      <x:c r="L6" s="5"/>
      <x:c r="M6" s="3"/>
      <x:c r="N6" s="78"/>
    </x:row>
    <x:row r="7" ht="24" customHeight="1">
      <x:c r="A7" s="18" t="str">
        <x:v>Assets</x:v>
      </x:c>
      <x:c r="B7" s="18"/>
      <x:c r="C7" s="19"/>
      <x:c r="D7" s="19"/>
      <x:c r="E7" s="19"/>
      <x:c r="F7" s="19"/>
      <x:c r="G7" s="19"/>
      <x:c r="H7" s="19"/>
      <x:c r="I7" s="19"/>
      <x:c r="J7" s="19"/>
      <x:c r="K7" s="19"/>
      <x:c r="L7" s="19"/>
      <x:c r="M7" s="3"/>
      <x:c r="N7" s="78"/>
    </x:row>
    <x:row r="8" ht="21" customHeight="1">
      <x:c r="A8" s="6" t="str">
        <x:v>Property, plant and equipment</x:v>
      </x:c>
      <x:c r="B8" s="3"/>
      <x:c r="C8" s="13" t="n">
        <x:f>'10_Historical'!C22</x:f>
        <x:v>374.3544</x:v>
      </x:c>
      <x:c r="D8" s="13" t="n">
        <x:f>'10_Historical'!D22</x:f>
        <x:v>395.8629</x:v>
      </x:c>
      <x:c r="E8" s="13" t="n">
        <x:f>'10_Historical'!E22</x:f>
        <x:v>459.2005</x:v>
      </x:c>
      <x:c r="F8" s="13" t="n">
        <x:f>'10_Historical'!F22</x:f>
        <x:v>706.52</x:v>
      </x:c>
      <x:c r="G8" s="13" t="n">
        <x:f>'10_Historical'!G22</x:f>
        <x:v>860.08</x:v>
      </x:c>
      <x:c r="H8" s="13" t="n">
        <x:f>'06_Schedules'!H27</x:f>
        <x:v>1103.31405</x:v>
      </x:c>
      <x:c r="I8" s="13" t="n">
        <x:f>'06_Schedules'!I27</x:f>
        <x:v>1331.4614105</x:v>
      </x:c>
      <x:c r="J8" s="13" t="n">
        <x:f>'06_Schedules'!J27</x:f>
        <x:v>1489.33532822188</x:v>
      </x:c>
      <x:c r="K8" s="13" t="n">
        <x:f>'06_Schedules'!K27</x:f>
        <x:v>1650.8581297487483</x:v>
      </x:c>
      <x:c r="L8" s="13" t="n">
        <x:f>'06_Schedules'!L27</x:f>
        <x:v>1821.6370504233466</x:v>
      </x:c>
      <x:c r="M8" s="3"/>
      <x:c r="N8" s="79" t="str">
        <x:v>Other assets and liabilities stay at FY2026 balances. No</x:v>
      </x:c>
    </x:row>
    <x:row r="9" ht="21" customHeight="1">
      <x:c r="A9" s="6" t="str">
        <x:v>Capital work in progress</x:v>
      </x:c>
      <x:c r="B9" s="3"/>
      <x:c r="C9" s="13" t="n">
        <x:f>'10_Historical'!C23</x:f>
        <x:v>8.4404</x:v>
      </x:c>
      <x:c r="D9" s="13" t="n">
        <x:f>'10_Historical'!D23</x:f>
        <x:v>13.9856</x:v>
      </x:c>
      <x:c r="E9" s="13" t="n">
        <x:f>'10_Historical'!E23</x:f>
        <x:v>37.9008</x:v>
      </x:c>
      <x:c r="F9" s="13" t="n">
        <x:f>'10_Historical'!F23</x:f>
        <x:v>69.9</x:v>
      </x:c>
      <x:c r="G9" s="13" t="n">
        <x:f>'10_Historical'!G23</x:f>
        <x:v>111.5</x:v>
      </x:c>
      <x:c r="H9" s="13" t="n">
        <x:f>'06_Schedules'!H28</x:f>
        <x:v>125.75</x:v>
      </x:c>
      <x:c r="I9" s="13" t="n">
        <x:f>'06_Schedules'!I28</x:f>
        <x:v>132.875</x:v>
      </x:c>
      <x:c r="J9" s="13" t="n">
        <x:f>'06_Schedules'!J28</x:f>
        <x:v>122.52588538399999</x:v>
      </x:c>
      <x:c r="K9" s="13" t="n">
        <x:f>'06_Schedules'!K28</x:f>
        <x:v>123.31971515168001</x:v>
      </x:c>
      <x:c r="L9" s="13" t="n">
        <x:f>'06_Schedules'!L28</x:f>
        <x:v>129.8459801850176</x:v>
      </x:c>
      <x:c r="M9" s="3"/>
      <x:c r="N9" s="79" t="str">
        <x:v>acquisition, FX, OCI or deferred-tax movements are forecast.</x:v>
      </x:c>
    </x:row>
    <x:row r="10" ht="21" customHeight="1">
      <x:c r="A10" s="6" t="str">
        <x:v>Right-of-use assets</x:v>
      </x:c>
      <x:c r="B10" s="3"/>
      <x:c r="C10" s="13" t="n">
        <x:f>'10_Historical'!C24</x:f>
        <x:v>39.1692</x:v>
      </x:c>
      <x:c r="D10" s="13" t="n">
        <x:f>'10_Historical'!D24</x:f>
        <x:v>34.4636</x:v>
      </x:c>
      <x:c r="E10" s="13" t="n">
        <x:f>'10_Historical'!E24</x:f>
        <x:v>27.7177</x:v>
      </x:c>
      <x:c r="F10" s="13" t="n">
        <x:f>'10_Historical'!F24</x:f>
        <x:v>26.35</x:v>
      </x:c>
      <x:c r="G10" s="13" t="n">
        <x:f>'10_Historical'!G24</x:f>
        <x:v>73.05</x:v>
      </x:c>
      <x:c r="H10" s="13" t="n">
        <x:f>'06_Schedules'!H41</x:f>
        <x:v>75.05</x:v>
      </x:c>
      <x:c r="I10" s="13" t="n">
        <x:f>'06_Schedules'!I41</x:f>
        <x:v>77.05</x:v>
      </x:c>
      <x:c r="J10" s="13" t="n">
        <x:f>'06_Schedules'!J41</x:f>
        <x:v>79.05</x:v>
      </x:c>
      <x:c r="K10" s="13" t="n">
        <x:f>'06_Schedules'!K41</x:f>
        <x:v>81.05</x:v>
      </x:c>
      <x:c r="L10" s="13" t="n">
        <x:f>'06_Schedules'!L41</x:f>
        <x:v>83.05</x:v>
      </x:c>
      <x:c r="M10" s="3"/>
      <x:c r="N10" s="78"/>
    </x:row>
    <x:row r="11" ht="21" customHeight="1">
      <x:c r="A11" s="6" t="str">
        <x:v>Goodwill and intangible assets</x:v>
      </x:c>
      <x:c r="B11" s="3"/>
      <x:c r="C11" s="13" t="n">
        <x:f>'10_Historical'!C25</x:f>
        <x:v>182.9103</x:v>
      </x:c>
      <x:c r="D11" s="13" t="n">
        <x:f>'10_Historical'!D25</x:f>
        <x:v>160.4575</x:v>
      </x:c>
      <x:c r="E11" s="13" t="n">
        <x:f>'10_Historical'!E25</x:f>
        <x:v>138.3926</x:v>
      </x:c>
      <x:c r="F11" s="13" t="n">
        <x:f>'10_Historical'!F25</x:f>
        <x:v>132.09</x:v>
      </x:c>
      <x:c r="G11" s="13" t="n">
        <x:f>'10_Historical'!G25</x:f>
        <x:v>105.53999999999999</x:v>
      </x:c>
      <x:c r="H11" s="13" t="n">
        <x:f>SUM('06_Schedules'!H31,'06_Schedules'!H33:'06_Schedules'!H34)</x:f>
        <x:v>82.872</x:v>
      </x:c>
      <x:c r="I11" s="13" t="n">
        <x:f>SUM('06_Schedules'!I31,'06_Schedules'!I33:'06_Schedules'!I34)</x:f>
        <x:v>62.751599999999996</x:v>
      </x:c>
      <x:c r="J11" s="13" t="n">
        <x:f>SUM('06_Schedules'!J31,'06_Schedules'!J33:'06_Schedules'!J34)</x:f>
        <x:v>44.66928</x:v>
      </x:c>
      <x:c r="K11" s="13" t="n">
        <x:f>SUM('06_Schedules'!K31,'06_Schedules'!K33:'06_Schedules'!K34)</x:f>
        <x:v>28.217423999999998</x:v>
      </x:c>
      <x:c r="L11" s="13" t="n">
        <x:f>SUM('06_Schedules'!L31,'06_Schedules'!L33:'06_Schedules'!L34)</x:f>
        <x:v>22.979939199999997</x:v>
      </x:c>
      <x:c r="M11" s="3"/>
      <x:c r="N11" s="78"/>
    </x:row>
    <x:row r="12" ht="21" customHeight="1">
      <x:c r="A12" s="6" t="str">
        <x:v>Other non-current assets</x:v>
      </x:c>
      <x:c r="B12" s="3"/>
      <x:c r="C12" s="13" t="n">
        <x:f>'10_Historical'!C26</x:f>
        <x:v>44.6012</x:v>
      </x:c>
      <x:c r="D12" s="13" t="n">
        <x:f>'10_Historical'!D26</x:f>
        <x:v>39.0351</x:v>
      </x:c>
      <x:c r="E12" s="13" t="n">
        <x:f>'10_Historical'!E26</x:f>
        <x:v>29.475699999999996</x:v>
      </x:c>
      <x:c r="F12" s="13" t="n">
        <x:f>'10_Historical'!F26</x:f>
        <x:v>34.209999999999994</x:v>
      </x:c>
      <x:c r="G12" s="13" t="n">
        <x:f>'10_Historical'!G26</x:f>
        <x:v>32.91</x:v>
      </x:c>
      <x:c r="H12" s="5" t="n">
        <x:f>G12</x:f>
        <x:v>32.91</x:v>
      </x:c>
      <x:c r="I12" s="5" t="n">
        <x:f>H12</x:f>
        <x:v>32.91</x:v>
      </x:c>
      <x:c r="J12" s="5" t="n">
        <x:f>I12</x:f>
        <x:v>32.91</x:v>
      </x:c>
      <x:c r="K12" s="5" t="n">
        <x:f>J12</x:f>
        <x:v>32.91</x:v>
      </x:c>
      <x:c r="L12" s="5" t="n">
        <x:f>K12</x:f>
        <x:v>32.91</x:v>
      </x:c>
      <x:c r="M12" s="3"/>
      <x:c r="N12" s="78"/>
    </x:row>
    <x:row r="13" ht="21" customHeight="1">
      <x:c r="A13" s="6" t="str">
        <x:v>Inventories</x:v>
      </x:c>
      <x:c r="B13" s="3"/>
      <x:c r="C13" s="13" t="n">
        <x:f>'10_Historical'!C27</x:f>
        <x:v>236.4727</x:v>
      </x:c>
      <x:c r="D13" s="13" t="n">
        <x:f>'10_Historical'!D27</x:f>
        <x:v>271.6792</x:v>
      </x:c>
      <x:c r="E13" s="13" t="n">
        <x:f>'10_Historical'!E27</x:f>
        <x:v>320.265</x:v>
      </x:c>
      <x:c r="F13" s="13" t="n">
        <x:f>'10_Historical'!F27</x:f>
        <x:v>362.63</x:v>
      </x:c>
      <x:c r="G13" s="13" t="n">
        <x:f>'10_Historical'!G27</x:f>
        <x:v>539.33</x:v>
      </x:c>
      <x:c r="H13" s="13" t="n">
        <x:f>'06_Schedules'!H14</x:f>
        <x:v>613.4952625645473</x:v>
      </x:c>
      <x:c r="I13" s="13" t="n">
        <x:f>'06_Schedules'!I14</x:f>
        <x:v>689.2565124678611</x:v>
      </x:c>
      <x:c r="J13" s="13" t="n">
        <x:f>'06_Schedules'!J14</x:f>
        <x:v>768.3082131594226</x:v>
      </x:c>
      <x:c r="K13" s="13" t="n">
        <x:f>'06_Schedules'!K14</x:f>
        <x:v>850.0641913029401</x:v>
      </x:c>
      <x:c r="L13" s="13" t="n">
        <x:f>'06_Schedules'!L14</x:f>
        <x:v>934.0250689240014</x:v>
      </x:c>
      <x:c r="M13" s="3"/>
      <x:c r="N13" s="78"/>
    </x:row>
    <x:row r="14" ht="21" customHeight="1">
      <x:c r="A14" s="6" t="str">
        <x:v>Trade receivables</x:v>
      </x:c>
      <x:c r="B14" s="3"/>
      <x:c r="C14" s="13" t="n">
        <x:f>'10_Historical'!C28</x:f>
        <x:v>238.9208</x:v>
      </x:c>
      <x:c r="D14" s="13" t="n">
        <x:f>'10_Historical'!D28</x:f>
        <x:v>268.9791</x:v>
      </x:c>
      <x:c r="E14" s="13" t="n">
        <x:f>'10_Historical'!E28</x:f>
        <x:v>287.0407</x:v>
      </x:c>
      <x:c r="F14" s="13" t="n">
        <x:f>'10_Historical'!F28</x:f>
        <x:v>472.74</x:v>
      </x:c>
      <x:c r="G14" s="13" t="n">
        <x:f>'10_Historical'!G28</x:f>
        <x:v>577.8</x:v>
      </x:c>
      <x:c r="H14" s="13" t="n">
        <x:f>'06_Schedules'!H15</x:f>
        <x:v>657.2554145139253</x:v>
      </x:c>
      <x:c r="I14" s="13" t="n">
        <x:f>'06_Schedules'!I15</x:f>
        <x:v>738.4206569334733</x:v>
      </x:c>
      <x:c r="J14" s="13" t="n">
        <x:f>'06_Schedules'!J15</x:f>
        <x:v>823.1110555012967</x:v>
      </x:c>
      <x:c r="K14" s="13" t="n">
        <x:f>'06_Schedules'!K15</x:f>
        <x:v>910.6986255814413</x:v>
      </x:c>
      <x:c r="L14" s="13" t="n">
        <x:f>'06_Schedules'!L15</x:f>
        <x:v>1000.6483689471897</x:v>
      </x:c>
      <x:c r="M14" s="3"/>
      <x:c r="N14" s="78"/>
    </x:row>
    <x:row r="15" ht="21" customHeight="1">
      <x:c r="A15" s="6" t="str">
        <x:v>Cash and cash equivalents</x:v>
      </x:c>
      <x:c r="B15" s="3"/>
      <x:c r="C15" s="13" t="n">
        <x:f>'10_Historical'!C29</x:f>
        <x:v>22.5859</x:v>
      </x:c>
      <x:c r="D15" s="13" t="n">
        <x:f>'10_Historical'!D29</x:f>
        <x:v>55.9968</x:v>
      </x:c>
      <x:c r="E15" s="13" t="n">
        <x:f>'10_Historical'!E29</x:f>
        <x:v>112.5423</x:v>
      </x:c>
      <x:c r="F15" s="13" t="n">
        <x:f>'10_Historical'!F29</x:f>
        <x:v>101.08</x:v>
      </x:c>
      <x:c r="G15" s="13" t="n">
        <x:f>'10_Historical'!G29</x:f>
        <x:v>117.9</x:v>
      </x:c>
      <x:c r="H15" s="13" t="n">
        <x:f>'05_Cash_Flow'!H13</x:f>
        <x:v>89.57332000000002</x:v>
      </x:c>
      <x:c r="I15" s="13" t="n">
        <x:f>'05_Cash_Flow'!I13</x:f>
        <x:v>100.6348344</x:v>
      </x:c>
      <x:c r="J15" s="13" t="n">
        <x:f>'05_Cash_Flow'!J13</x:f>
        <x:v>112.17677076800003</x:v>
      </x:c>
      <x:c r="K15" s="13" t="n">
        <x:f>'05_Cash_Flow'!K13</x:f>
        <x:v>124.11354491936002</x:v>
      </x:c>
      <x:c r="L15" s="13" t="n">
        <x:f>'05_Cash_Flow'!L13</x:f>
        <x:v>136.37224521835526</x:v>
      </x:c>
      <x:c r="M15" s="3"/>
      <x:c r="N15" s="78"/>
    </x:row>
    <x:row r="16" ht="21" customHeight="1">
      <x:c r="A16" s="6" t="str">
        <x:v>Current investments</x:v>
      </x:c>
      <x:c r="B16" s="3"/>
      <x:c r="C16" s="13" t="n">
        <x:f>'10_Historical'!C30</x:f>
        <x:v>2.1302</x:v>
      </x:c>
      <x:c r="D16" s="13" t="n">
        <x:f>'10_Historical'!D30</x:f>
        <x:v>3.6392</x:v>
      </x:c>
      <x:c r="E16" s="13" t="n">
        <x:f>'10_Historical'!E30</x:f>
        <x:v>5.1685</x:v>
      </x:c>
      <x:c r="F16" s="13" t="n">
        <x:f>'10_Historical'!F30</x:f>
        <x:v>6.94</x:v>
      </x:c>
      <x:c r="G16" s="13" t="n">
        <x:f>'10_Historical'!G30</x:f>
        <x:v>6.86</x:v>
      </x:c>
      <x:c r="H16" s="5" t="n">
        <x:f>G16</x:f>
        <x:v>6.86</x:v>
      </x:c>
      <x:c r="I16" s="5" t="n">
        <x:f>H16</x:f>
        <x:v>6.86</x:v>
      </x:c>
      <x:c r="J16" s="5" t="n">
        <x:f>I16</x:f>
        <x:v>6.86</x:v>
      </x:c>
      <x:c r="K16" s="5" t="n">
        <x:f>J16</x:f>
        <x:v>6.86</x:v>
      </x:c>
      <x:c r="L16" s="5" t="n">
        <x:f>K16</x:f>
        <x:v>6.86</x:v>
      </x:c>
      <x:c r="M16" s="3"/>
      <x:c r="N16" s="78"/>
    </x:row>
    <x:row r="17" ht="21" customHeight="1">
      <x:c r="A17" s="6" t="str">
        <x:v>Other current assets / held for sale</x:v>
      </x:c>
      <x:c r="B17" s="3"/>
      <x:c r="C17" s="13" t="n">
        <x:f>'10_Historical'!C31</x:f>
        <x:v>49.169799999999995</x:v>
      </x:c>
      <x:c r="D17" s="13" t="n">
        <x:f>'10_Historical'!D31</x:f>
        <x:v>63.4059</x:v>
      </x:c>
      <x:c r="E17" s="13" t="n">
        <x:f>'10_Historical'!E31</x:f>
        <x:v>17.9343</x:v>
      </x:c>
      <x:c r="F17" s="13" t="n">
        <x:f>'10_Historical'!F31</x:f>
        <x:v>36.9</x:v>
      </x:c>
      <x:c r="G17" s="13" t="n">
        <x:f>'10_Historical'!G31</x:f>
        <x:v>50.330000000000005</x:v>
      </x:c>
      <x:c r="H17" s="5" t="n">
        <x:f>G17</x:f>
        <x:v>50.330000000000005</x:v>
      </x:c>
      <x:c r="I17" s="5" t="n">
        <x:f>H17</x:f>
        <x:v>50.330000000000005</x:v>
      </x:c>
      <x:c r="J17" s="5" t="n">
        <x:f>I17</x:f>
        <x:v>50.330000000000005</x:v>
      </x:c>
      <x:c r="K17" s="5" t="n">
        <x:f>J17</x:f>
        <x:v>50.330000000000005</x:v>
      </x:c>
      <x:c r="L17" s="5" t="n">
        <x:f>K17</x:f>
        <x:v>50.330000000000005</x:v>
      </x:c>
      <x:c r="M17" s="3"/>
      <x:c r="N17" s="78"/>
    </x:row>
    <x:row r="18" ht="21" customHeight="1">
      <x:c r="A18" s="20" t="str">
        <x:v>Total assets</x:v>
      </x:c>
      <x:c r="B18" s="21"/>
      <x:c r="C18" s="22" t="n">
        <x:f>SUM(C8:C17)</x:f>
        <x:v>1198.7549</x:v>
      </x:c>
      <x:c r="D18" s="22" t="n">
        <x:f>SUM(D8:D17)</x:f>
        <x:v>1307.5049</x:v>
      </x:c>
      <x:c r="E18" s="22" t="n">
        <x:f>SUM(E8:E17)</x:f>
        <x:v>1435.6381</x:v>
      </x:c>
      <x:c r="F18" s="22" t="n">
        <x:f>SUM(F8:F17)</x:f>
        <x:v>1949.3600000000001</x:v>
      </x:c>
      <x:c r="G18" s="22" t="n">
        <x:f>SUM(G8:G17)</x:f>
        <x:v>2475.3</x:v>
      </x:c>
      <x:c r="H18" s="22" t="n">
        <x:f>SUM(H8:H17)</x:f>
        <x:v>2837.4100470784724</x:v>
      </x:c>
      <x:c r="I18" s="22" t="n">
        <x:f>SUM(I8:I17)</x:f>
        <x:v>3222.550014301334</x:v>
      </x:c>
      <x:c r="J18" s="22" t="n">
        <x:f>SUM(J8:J17)</x:f>
        <x:v>3529.2765330345997</x:v>
      </x:c>
      <x:c r="K18" s="22" t="n">
        <x:f>SUM(K8:K17)</x:f>
        <x:v>3858.4216307041697</x:v>
      </x:c>
      <x:c r="L18" s="22" t="n">
        <x:f>SUM(L8:L17)</x:f>
        <x:v>4218.6586528979105</x:v>
      </x:c>
      <x:c r="M18" s="3"/>
      <x:c r="N18" s="78"/>
    </x:row>
    <x:row r="19" ht="21" customHeight="1">
      <x:c r="A19" s="3"/>
      <x:c r="B19" s="3"/>
      <x:c r="C19" s="5"/>
      <x:c r="D19" s="5"/>
      <x:c r="E19" s="5"/>
      <x:c r="F19" s="5"/>
      <x:c r="G19" s="5"/>
      <x:c r="H19" s="5"/>
      <x:c r="I19" s="5"/>
      <x:c r="J19" s="5"/>
      <x:c r="K19" s="5"/>
      <x:c r="L19" s="5"/>
      <x:c r="M19" s="3"/>
      <x:c r="N19" s="78"/>
    </x:row>
    <x:row r="20" ht="21" customHeight="1">
      <x:c r="A20" s="3"/>
      <x:c r="B20" s="3"/>
      <x:c r="C20" s="5"/>
      <x:c r="D20" s="5"/>
      <x:c r="E20" s="5"/>
      <x:c r="F20" s="5"/>
      <x:c r="G20" s="5"/>
      <x:c r="H20" s="5"/>
      <x:c r="I20" s="5"/>
      <x:c r="J20" s="5"/>
      <x:c r="K20" s="5"/>
      <x:c r="L20" s="5"/>
      <x:c r="M20" s="3"/>
      <x:c r="N20" s="78"/>
    </x:row>
    <x:row r="21" ht="24" customHeight="1">
      <x:c r="A21" s="18" t="str">
        <x:v>Equity and liabilities</x:v>
      </x:c>
      <x:c r="B21" s="18"/>
      <x:c r="C21" s="19"/>
      <x:c r="D21" s="19"/>
      <x:c r="E21" s="19"/>
      <x:c r="F21" s="19"/>
      <x:c r="G21" s="19"/>
      <x:c r="H21" s="19"/>
      <x:c r="I21" s="19"/>
      <x:c r="J21" s="19"/>
      <x:c r="K21" s="19"/>
      <x:c r="L21" s="19"/>
      <x:c r="M21" s="3"/>
      <x:c r="N21" s="78"/>
    </x:row>
    <x:row r="22" ht="21" customHeight="1">
      <x:c r="A22" s="6" t="str">
        <x:v>Share capital</x:v>
      </x:c>
      <x:c r="B22" s="3"/>
      <x:c r="C22" s="13" t="n">
        <x:f>'10_Historical'!C36</x:f>
        <x:v>12.1881</x:v>
      </x:c>
      <x:c r="D22" s="13" t="n">
        <x:f>'10_Historical'!D36</x:f>
        <x:v>12.1881</x:v>
      </x:c>
      <x:c r="E22" s="13" t="n">
        <x:f>'10_Historical'!E36</x:f>
        <x:v>12.1881</x:v>
      </x:c>
      <x:c r="F22" s="13" t="n">
        <x:f>'10_Historical'!F36</x:f>
        <x:v>12.19</x:v>
      </x:c>
      <x:c r="G22" s="13" t="n">
        <x:f>'10_Historical'!G36</x:f>
        <x:v>12.19</x:v>
      </x:c>
      <x:c r="H22" s="5" t="n">
        <x:f>G22</x:f>
        <x:v>12.19</x:v>
      </x:c>
      <x:c r="I22" s="5" t="n">
        <x:f>H22</x:f>
        <x:v>12.19</x:v>
      </x:c>
      <x:c r="J22" s="5" t="n">
        <x:f>I22</x:f>
        <x:v>12.19</x:v>
      </x:c>
      <x:c r="K22" s="5" t="n">
        <x:f>J22</x:f>
        <x:v>12.19</x:v>
      </x:c>
      <x:c r="L22" s="5" t="n">
        <x:f>K22</x:f>
        <x:v>12.19</x:v>
      </x:c>
      <x:c r="M22" s="3"/>
      <x:c r="N22" s="78"/>
    </x:row>
    <x:row r="23" ht="21" customHeight="1">
      <x:c r="A23" s="6" t="str">
        <x:v>Other equity</x:v>
      </x:c>
      <x:c r="B23" s="3"/>
      <x:c r="C23" s="13" t="n">
        <x:f>'10_Historical'!C37</x:f>
        <x:v>563.9943</x:v>
      </x:c>
      <x:c r="D23" s="13" t="n">
        <x:f>'10_Historical'!D37</x:f>
        <x:v>692.0946</x:v>
      </x:c>
      <x:c r="E23" s="13" t="n">
        <x:f>'10_Historical'!E37</x:f>
        <x:v>833.084</x:v>
      </x:c>
      <x:c r="F23" s="13" t="n">
        <x:f>'10_Historical'!F37</x:f>
        <x:v>1003.84</x:v>
      </x:c>
      <x:c r="G23" s="13" t="n">
        <x:f>'10_Historical'!G37</x:f>
        <x:v>1242.7</x:v>
      </x:c>
      <x:c r="H23" s="13" t="n">
        <x:f>'06_Schedules'!H69</x:f>
        <x:v>1488.037786363024</x:v>
      </x:c>
      <x:c r="I23" s="13" t="n">
        <x:f>'06_Schedules'!I69</x:f>
        <x:v>1765.022699931317</x:v>
      </x:c>
      <x:c r="J23" s="13" t="n">
        <x:f>'06_Schedules'!J69</x:f>
        <x:v>2079.446549732403</x:v>
      </x:c>
      <x:c r="K23" s="13" t="n">
        <x:f>'06_Schedules'!K69</x:f>
        <x:v>2442.5292705160664</x:v>
      </x:c>
      <x:c r="L23" s="13" t="n">
        <x:f>'06_Schedules'!L69</x:f>
        <x:v>2864.286133329238</x:v>
      </x:c>
      <x:c r="M23" s="3"/>
      <x:c r="N23" s="78"/>
    </x:row>
    <x:row r="24" ht="21" customHeight="1">
      <x:c r="A24" s="6" t="str">
        <x:v>Non-controlling interests</x:v>
      </x:c>
      <x:c r="B24" s="3"/>
      <x:c r="C24" s="13" t="n">
        <x:f>'10_Historical'!C38</x:f>
        <x:v>0</x:v>
      </x:c>
      <x:c r="D24" s="13" t="n">
        <x:f>'10_Historical'!D38</x:f>
        <x:v>0</x:v>
      </x:c>
      <x:c r="E24" s="13" t="n">
        <x:f>'10_Historical'!E38</x:f>
        <x:v>0</x:v>
      </x:c>
      <x:c r="F24" s="13" t="n">
        <x:f>'10_Historical'!F38</x:f>
        <x:v>0</x:v>
      </x:c>
      <x:c r="G24" s="13" t="n">
        <x:f>'10_Historical'!G38</x:f>
        <x:v>0</x:v>
      </x:c>
      <x:c r="H24" s="5" t="n">
        <x:f>G24</x:f>
        <x:v>0</x:v>
      </x:c>
      <x:c r="I24" s="5" t="n">
        <x:f>H24</x:f>
        <x:v>0</x:v>
      </x:c>
      <x:c r="J24" s="5" t="n">
        <x:f>I24</x:f>
        <x:v>0</x:v>
      </x:c>
      <x:c r="K24" s="5" t="n">
        <x:f>J24</x:f>
        <x:v>0</x:v>
      </x:c>
      <x:c r="L24" s="5" t="n">
        <x:f>K24</x:f>
        <x:v>0</x:v>
      </x:c>
      <x:c r="M24" s="3"/>
      <x:c r="N24" s="78"/>
    </x:row>
    <x:row r="25" ht="21" customHeight="1">
      <x:c r="A25" s="6" t="str">
        <x:v>Non-current borrowings</x:v>
      </x:c>
      <x:c r="B25" s="3"/>
      <x:c r="C25" s="13" t="n">
        <x:f>'10_Historical'!C39</x:f>
        <x:v>93.1098</x:v>
      </x:c>
      <x:c r="D25" s="13" t="n">
        <x:f>'10_Historical'!D39</x:f>
        <x:v>26.7581</x:v>
      </x:c>
      <x:c r="E25" s="13" t="n">
        <x:f>'10_Historical'!E39</x:f>
        <x:v>0</x:v>
      </x:c>
      <x:c r="F25" s="13" t="n">
        <x:f>'10_Historical'!F39</x:f>
        <x:v>67.81</x:v>
      </x:c>
      <x:c r="G25" s="13" t="n">
        <x:f>'10_Historical'!G39</x:f>
        <x:v>97.16</x:v>
      </x:c>
      <x:c r="H25" s="13" t="n">
        <x:f>MIN(MAX(0,G25-'06_Schedules'!H51),'06_Schedules'!H60)</x:f>
        <x:v>77.16</x:v>
      </x:c>
      <x:c r="I25" s="13" t="n">
        <x:f>MIN(MAX(0,H25-'06_Schedules'!I51),'06_Schedules'!I60)</x:f>
        <x:v>57.16</x:v>
      </x:c>
      <x:c r="J25" s="13" t="n">
        <x:f>MIN(MAX(0,I25-'06_Schedules'!J51),'06_Schedules'!J60)</x:f>
        <x:v>37.16</x:v>
      </x:c>
      <x:c r="K25" s="13" t="n">
        <x:f>MIN(MAX(0,J25-'06_Schedules'!K51),'06_Schedules'!K60)</x:f>
        <x:v>17.159999999999997</x:v>
      </x:c>
      <x:c r="L25" s="13" t="n">
        <x:f>MIN(MAX(0,K25-'06_Schedules'!L51),'06_Schedules'!L60)</x:f>
        <x:v>0</x:v>
      </x:c>
      <x:c r="M25" s="3"/>
      <x:c r="N25" s="78"/>
    </x:row>
    <x:row r="26" ht="21" customHeight="1">
      <x:c r="A26" s="6" t="str">
        <x:v>Current borrowings</x:v>
      </x:c>
      <x:c r="B26" s="3"/>
      <x:c r="C26" s="13" t="n">
        <x:f>'10_Historical'!C40</x:f>
        <x:v>34.9536</x:v>
      </x:c>
      <x:c r="D26" s="13" t="n">
        <x:f>'10_Historical'!D40</x:f>
        <x:v>62.4444</x:v>
      </x:c>
      <x:c r="E26" s="13" t="n">
        <x:f>'10_Historical'!E40</x:f>
        <x:v>46.6237</x:v>
      </x:c>
      <x:c r="F26" s="13" t="n">
        <x:f>'10_Historical'!F40</x:f>
        <x:v>200.83</x:v>
      </x:c>
      <x:c r="G26" s="13" t="n">
        <x:f>'10_Historical'!G40</x:f>
        <x:v>265.76</x:v>
      </x:c>
      <x:c r="H26" s="13" t="n">
        <x:f>'06_Schedules'!H60-H25</x:f>
        <x:v>326.41815363697594</x:v>
      </x:c>
      <x:c r="I26" s="13" t="n">
        <x:f>'06_Schedules'!I60-I25</x:f>
        <x:v>376.8426943686825</x:v>
      </x:c>
      <x:c r="J26" s="13" t="n">
        <x:f>'06_Schedules'!J60-J25</x:f>
        <x:v>308.0823027094767</x:v>
      </x:c>
      <x:c r="K26" s="13" t="n">
        <x:f>'06_Schedules'!K60-K25</x:f>
        <x:v>210.34274396908197</x:v>
      </x:c>
      <x:c r="L26" s="13" t="n">
        <x:f>'06_Schedules'!L60-L25</x:f>
        <x:v>79.94785953055646</x:v>
      </x:c>
      <x:c r="M26" s="3"/>
      <x:c r="N26" s="78"/>
    </x:row>
    <x:row r="27" ht="21" customHeight="1">
      <x:c r="A27" s="6" t="str">
        <x:v>Non-current lease liabilities</x:v>
      </x:c>
      <x:c r="B27" s="3"/>
      <x:c r="C27" s="13" t="n">
        <x:f>'10_Historical'!C41</x:f>
        <x:v>18.9981</x:v>
      </x:c>
      <x:c r="D27" s="13" t="n">
        <x:f>'10_Historical'!D41</x:f>
        <x:v>13.5795</x:v>
      </x:c>
      <x:c r="E27" s="13" t="n">
        <x:f>'10_Historical'!E41</x:f>
        <x:v>8.0269</x:v>
      </x:c>
      <x:c r="F27" s="13" t="n">
        <x:f>'10_Historical'!F41</x:f>
        <x:v>4.94</x:v>
      </x:c>
      <x:c r="G27" s="13" t="n">
        <x:f>'10_Historical'!G41</x:f>
        <x:v>11.4</x:v>
      </x:c>
      <x:c r="H27" s="13" t="n">
        <x:f>'06_Schedules'!H44-H28</x:f>
        <x:v>10.240000000000002</x:v>
      </x:c>
      <x:c r="I27" s="13" t="n">
        <x:f>'06_Schedules'!I44-I28</x:f>
        <x:v>11.240000000000002</x:v>
      </x:c>
      <x:c r="J27" s="13" t="n">
        <x:f>'06_Schedules'!J44-J28</x:f>
        <x:v>12.240000000000002</x:v>
      </x:c>
      <x:c r="K27" s="13" t="n">
        <x:f>'06_Schedules'!K44-K28</x:f>
        <x:v>13.240000000000002</x:v>
      </x:c>
      <x:c r="L27" s="13" t="n">
        <x:f>'06_Schedules'!L44-L28</x:f>
        <x:v>14.240000000000002</x:v>
      </x:c>
      <x:c r="M27" s="3"/>
      <x:c r="N27" s="78"/>
    </x:row>
    <x:row r="28" ht="21" customHeight="1">
      <x:c r="A28" s="6" t="str">
        <x:v>Current lease liabilities</x:v>
      </x:c>
      <x:c r="B28" s="3"/>
      <x:c r="C28" s="13" t="n">
        <x:f>'10_Historical'!C42</x:f>
        <x:v>6.3568</x:v>
      </x:c>
      <x:c r="D28" s="13" t="n">
        <x:f>'10_Historical'!D42</x:f>
        <x:v>7.5461</x:v>
      </x:c>
      <x:c r="E28" s="13" t="n">
        <x:f>'10_Historical'!E42</x:f>
        <x:v>6.2327</x:v>
      </x:c>
      <x:c r="F28" s="13" t="n">
        <x:f>'10_Historical'!F42</x:f>
        <x:v>5.27</x:v>
      </x:c>
      <x:c r="G28" s="13" t="n">
        <x:f>'10_Historical'!G42</x:f>
        <x:v>4.84</x:v>
      </x:c>
      <x:c r="H28" s="13" t="n">
        <x:f>MIN('02_Assumptions'!H85,'06_Schedules'!H44)</x:f>
        <x:v>7</x:v>
      </x:c>
      <x:c r="I28" s="13" t="n">
        <x:f>MIN('02_Assumptions'!I85,'06_Schedules'!I44)</x:f>
        <x:v>7</x:v>
      </x:c>
      <x:c r="J28" s="13" t="n">
        <x:f>MIN('02_Assumptions'!J85,'06_Schedules'!J44)</x:f>
        <x:v>7</x:v>
      </x:c>
      <x:c r="K28" s="13" t="n">
        <x:f>MIN('02_Assumptions'!K85,'06_Schedules'!K44)</x:f>
        <x:v>7</x:v>
      </x:c>
      <x:c r="L28" s="13" t="n">
        <x:f>MIN('02_Assumptions'!L85,'06_Schedules'!L44)</x:f>
        <x:v>7</x:v>
      </x:c>
      <x:c r="M28" s="3"/>
      <x:c r="N28" s="78"/>
    </x:row>
    <x:row r="29" ht="21" customHeight="1">
      <x:c r="A29" s="6" t="str">
        <x:v>Trade payables</x:v>
      </x:c>
      <x:c r="B29" s="3"/>
      <x:c r="C29" s="13" t="n">
        <x:f>'10_Historical'!C43</x:f>
        <x:v>269.9445</x:v>
      </x:c>
      <x:c r="D29" s="13" t="n">
        <x:f>'10_Historical'!D43</x:f>
        <x:v>282.63030000000003</x:v>
      </x:c>
      <x:c r="E29" s="13" t="n">
        <x:f>'10_Historical'!E43</x:f>
        <x:v>325.8118</x:v>
      </x:c>
      <x:c r="F29" s="13" t="n">
        <x:f>'10_Historical'!F43</x:f>
        <x:v>379.88</x:v>
      </x:c>
      <x:c r="G29" s="13" t="n">
        <x:f>'10_Historical'!G43</x:f>
        <x:v>546.23</x:v>
      </x:c>
      <x:c r="H29" s="13" t="n">
        <x:f>'06_Schedules'!H16</x:f>
        <x:v>621.3441070784726</x:v>
      </x:c>
      <x:c r="I29" s="13" t="n">
        <x:f>'06_Schedules'!I16</x:f>
        <x:v>698.0746200013346</x:v>
      </x:c>
      <x:c r="J29" s="13" t="n">
        <x:f>'06_Schedules'!J16</x:f>
        <x:v>778.1376805927196</x:v>
      </x:c>
      <x:c r="K29" s="13" t="n">
        <x:f>'06_Schedules'!K16</x:f>
        <x:v>860.9396162190217</x:v>
      </x:c>
      <x:c r="L29" s="13" t="n">
        <x:f>'06_Schedules'!L16</x:f>
        <x:v>945.9746600381162</x:v>
      </x:c>
      <x:c r="M29" s="3"/>
      <x:c r="N29" s="78"/>
    </x:row>
    <x:row r="30" ht="21" customHeight="1">
      <x:c r="A30" s="6" t="str">
        <x:v>Other non-current liabilities</x:v>
      </x:c>
      <x:c r="B30" s="3"/>
      <x:c r="C30" s="13" t="n">
        <x:f>'10_Historical'!C44</x:f>
        <x:v>73.5779</x:v>
      </x:c>
      <x:c r="D30" s="13" t="n">
        <x:f>'10_Historical'!D44</x:f>
        <x:v>58.020900000000005</x:v>
      </x:c>
      <x:c r="E30" s="13" t="n">
        <x:f>'10_Historical'!E44</x:f>
        <x:v>56.730900000000005</x:v>
      </x:c>
      <x:c r="F30" s="13" t="n">
        <x:f>'10_Historical'!F44</x:f>
        <x:v>51.099999999999994</x:v>
      </x:c>
      <x:c r="G30" s="13" t="n">
        <x:f>'10_Historical'!G44</x:f>
        <x:v>41.55</x:v>
      </x:c>
      <x:c r="H30" s="5" t="n">
        <x:f>G30</x:f>
        <x:v>41.55</x:v>
      </x:c>
      <x:c r="I30" s="5" t="n">
        <x:f>H30</x:f>
        <x:v>41.55</x:v>
      </x:c>
      <x:c r="J30" s="5" t="n">
        <x:f>I30</x:f>
        <x:v>41.55</x:v>
      </x:c>
      <x:c r="K30" s="5" t="n">
        <x:f>J30</x:f>
        <x:v>41.55</x:v>
      </x:c>
      <x:c r="L30" s="5" t="n">
        <x:f>K30</x:f>
        <x:v>41.55</x:v>
      </x:c>
      <x:c r="M30" s="3"/>
      <x:c r="N30" s="78"/>
    </x:row>
    <x:row r="31" ht="21" customHeight="1">
      <x:c r="A31" s="6" t="str">
        <x:v>Other current liabilities / held for sale</x:v>
      </x:c>
      <x:c r="B31" s="3"/>
      <x:c r="C31" s="13" t="n">
        <x:f>'10_Historical'!C45</x:f>
        <x:v>125.63179999999998</x:v>
      </x:c>
      <x:c r="D31" s="13" t="n">
        <x:f>'10_Historical'!D45</x:f>
        <x:v>152.2429</x:v>
      </x:c>
      <x:c r="E31" s="13" t="n">
        <x:f>'10_Historical'!E45</x:f>
        <x:v>146.94</x:v>
      </x:c>
      <x:c r="F31" s="13" t="n">
        <x:f>'10_Historical'!F45</x:f>
        <x:v>223.5</x:v>
      </x:c>
      <x:c r="G31" s="13" t="n">
        <x:f>'10_Historical'!G45</x:f>
        <x:v>253.47000000000003</x:v>
      </x:c>
      <x:c r="H31" s="5" t="n">
        <x:f>G31</x:f>
        <x:v>253.47000000000003</x:v>
      </x:c>
      <x:c r="I31" s="5" t="n">
        <x:f>H31</x:f>
        <x:v>253.47000000000003</x:v>
      </x:c>
      <x:c r="J31" s="5" t="n">
        <x:f>I31</x:f>
        <x:v>253.47000000000003</x:v>
      </x:c>
      <x:c r="K31" s="5" t="n">
        <x:f>J31</x:f>
        <x:v>253.47000000000003</x:v>
      </x:c>
      <x:c r="L31" s="5" t="n">
        <x:f>K31</x:f>
        <x:v>253.47000000000003</x:v>
      </x:c>
      <x:c r="M31" s="3"/>
      <x:c r="N31" s="78"/>
    </x:row>
    <x:row r="32" ht="21" customHeight="1">
      <x:c r="A32" s="20" t="str">
        <x:v>Total equity and liabilities</x:v>
      </x:c>
      <x:c r="B32" s="21"/>
      <x:c r="C32" s="22" t="n">
        <x:f>SUM(C22:C31)</x:f>
        <x:v>1198.7549</x:v>
      </x:c>
      <x:c r="D32" s="22" t="n">
        <x:f>SUM(D22:D31)</x:f>
        <x:v>1307.5049000000001</x:v>
      </x:c>
      <x:c r="E32" s="22" t="n">
        <x:f>SUM(E22:E31)</x:f>
        <x:v>1435.6381</x:v>
      </x:c>
      <x:c r="F32" s="22" t="n">
        <x:f>SUM(F22:F31)</x:f>
        <x:v>1949.3600000000001</x:v>
      </x:c>
      <x:c r="G32" s="22" t="n">
        <x:f>SUM(G22:G31)</x:f>
        <x:v>2475.3</x:v>
      </x:c>
      <x:c r="H32" s="22" t="n">
        <x:f>SUM(H22:H31)</x:f>
        <x:v>2837.4100470784733</x:v>
      </x:c>
      <x:c r="I32" s="22" t="n">
        <x:f>SUM(I22:I31)</x:f>
        <x:v>3222.550014301334</x:v>
      </x:c>
      <x:c r="J32" s="22" t="n">
        <x:f>SUM(J22:J31)</x:f>
        <x:v>3529.276533034599</x:v>
      </x:c>
      <x:c r="K32" s="22" t="n">
        <x:f>SUM(K22:K31)</x:f>
        <x:v>3858.4216307041697</x:v>
      </x:c>
      <x:c r="L32" s="22" t="n">
        <x:f>SUM(L22:L31)</x:f>
        <x:v>4218.6586528979105</x:v>
      </x:c>
      <x:c r="M32" s="3"/>
      <x:c r="N32" s="78"/>
    </x:row>
    <x:row r="33" ht="21" customHeight="1">
      <x:c r="A33" s="3"/>
      <x:c r="B33" s="3"/>
      <x:c r="C33" s="5"/>
      <x:c r="D33" s="5"/>
      <x:c r="E33" s="5"/>
      <x:c r="F33" s="5"/>
      <x:c r="G33" s="5"/>
      <x:c r="H33" s="5"/>
      <x:c r="I33" s="5"/>
      <x:c r="J33" s="5"/>
      <x:c r="K33" s="5"/>
      <x:c r="L33" s="5"/>
      <x:c r="M33" s="3"/>
      <x:c r="N33" s="78"/>
    </x:row>
    <x:row r="34" ht="21" customHeight="1">
      <x:c r="A34" s="3"/>
      <x:c r="B34" s="3"/>
      <x:c r="C34" s="5"/>
      <x:c r="D34" s="5"/>
      <x:c r="E34" s="5"/>
      <x:c r="F34" s="5"/>
      <x:c r="G34" s="5"/>
      <x:c r="H34" s="5"/>
      <x:c r="I34" s="5"/>
      <x:c r="J34" s="5"/>
      <x:c r="K34" s="5"/>
      <x:c r="L34" s="5"/>
      <x:c r="M34" s="3"/>
      <x:c r="N34" s="78"/>
    </x:row>
    <x:row r="35" ht="21" customHeight="1">
      <x:c r="A35" s="6" t="str">
        <x:v>Assets less equity and liabilities</x:v>
      </x:c>
      <x:c r="B35" s="3"/>
      <x:c r="C35" s="5" t="n">
        <x:f>ROUND(C18-C32,8)</x:f>
        <x:v>0</x:v>
      </x:c>
      <x:c r="D35" s="5" t="n">
        <x:f>ROUND(D18-D32,8)</x:f>
        <x:v>0</x:v>
      </x:c>
      <x:c r="E35" s="5" t="n">
        <x:f>ROUND(E18-E32,8)</x:f>
        <x:v>0</x:v>
      </x:c>
      <x:c r="F35" s="5" t="n">
        <x:f>ROUND(F18-F32,8)</x:f>
        <x:v>0</x:v>
      </x:c>
      <x:c r="G35" s="5" t="n">
        <x:f>ROUND(G18-G32,8)</x:f>
        <x:v>0</x:v>
      </x:c>
      <x:c r="H35" s="5" t="n">
        <x:f>ROUND(H18-H32,8)</x:f>
        <x:v>0</x:v>
      </x:c>
      <x:c r="I35" s="5" t="n">
        <x:f>ROUND(I18-I32,8)</x:f>
        <x:v>0</x:v>
      </x:c>
      <x:c r="J35" s="5" t="n">
        <x:f>ROUND(J18-J32,8)</x:f>
        <x:v>0</x:v>
      </x:c>
      <x:c r="K35" s="5" t="n">
        <x:f>ROUND(K18-K32,8)</x:f>
        <x:v>0</x:v>
      </x:c>
      <x:c r="L35" s="5" t="n">
        <x:f>ROUND(L18-L32,8)</x:f>
        <x:v>0</x:v>
      </x:c>
      <x:c r="M35" s="3"/>
      <x:c r="N35" s="78"/>
    </x:row>
    <x:row r="36" ht="21" customHeight="1">
      <x:c r="A36" s="3"/>
      <x:c r="B36" s="3"/>
      <x:c r="C36" s="5"/>
      <x:c r="D36" s="5"/>
      <x:c r="E36" s="5"/>
      <x:c r="F36" s="5"/>
      <x:c r="G36" s="5"/>
      <x:c r="H36" s="5"/>
      <x:c r="I36" s="5"/>
      <x:c r="J36" s="5"/>
      <x:c r="K36" s="5"/>
      <x:c r="L36" s="5"/>
      <x:c r="M36" s="3"/>
      <x:c r="N36" s="78"/>
    </x:row>
    <x:row r="37" ht="21" customHeight="1">
      <x:c r="A37" s="3"/>
      <x:c r="B37" s="3"/>
      <x:c r="C37" s="5"/>
      <x:c r="D37" s="5"/>
      <x:c r="E37" s="5"/>
      <x:c r="F37" s="5"/>
      <x:c r="G37" s="5"/>
      <x:c r="H37" s="5"/>
      <x:c r="I37" s="5"/>
      <x:c r="J37" s="5"/>
      <x:c r="K37" s="5"/>
      <x:c r="L37" s="5"/>
      <x:c r="M37" s="3"/>
      <x:c r="N37" s="78"/>
    </x:row>
    <x:row r="38" ht="21" customHeight="1">
      <x:c r="A38" s="3"/>
      <x:c r="B38" s="3"/>
      <x:c r="C38" s="5"/>
      <x:c r="D38" s="5"/>
      <x:c r="E38" s="5"/>
      <x:c r="F38" s="5"/>
      <x:c r="G38" s="5"/>
      <x:c r="H38" s="5"/>
      <x:c r="I38" s="5"/>
      <x:c r="J38" s="5"/>
      <x:c r="K38" s="5"/>
      <x:c r="L38" s="5"/>
      <x:c r="M38" s="3"/>
      <x:c r="N38" s="78"/>
    </x:row>
    <x:row r="39" ht="21" customHeight="1">
      <x:c r="A39" s="3"/>
      <x:c r="B39" s="3"/>
      <x:c r="C39" s="5"/>
      <x:c r="D39" s="5"/>
      <x:c r="E39" s="5"/>
      <x:c r="F39" s="5"/>
      <x:c r="G39" s="5"/>
      <x:c r="H39" s="5"/>
      <x:c r="I39" s="5"/>
      <x:c r="J39" s="5"/>
      <x:c r="K39" s="5"/>
      <x:c r="L39" s="5"/>
      <x:c r="M39" s="3"/>
      <x:c r="N39" s="78"/>
    </x:row>
    <x:row r="40" ht="21" customHeight="1">
      <x:c r="A40" s="3"/>
      <x:c r="B40" s="3"/>
      <x:c r="C40" s="5"/>
      <x:c r="D40" s="5"/>
      <x:c r="E40" s="5"/>
      <x:c r="F40" s="5"/>
      <x:c r="G40" s="5"/>
      <x:c r="H40" s="5"/>
      <x:c r="I40" s="5"/>
      <x:c r="J40" s="5"/>
      <x:c r="K40" s="5"/>
      <x:c r="L40" s="5"/>
      <x:c r="M40" s="3"/>
      <x:c r="N40" s="78"/>
    </x:row>
    <x:row r="41" ht="21" customHeight="1">
      <x:c r="A41" s="3"/>
      <x:c r="B41" s="3"/>
      <x:c r="C41" s="5"/>
      <x:c r="D41" s="5"/>
      <x:c r="E41" s="5"/>
      <x:c r="F41" s="5"/>
      <x:c r="G41" s="5"/>
      <x:c r="H41" s="5"/>
      <x:c r="I41" s="5"/>
      <x:c r="J41" s="5"/>
      <x:c r="K41" s="5"/>
      <x:c r="L41" s="5"/>
      <x:c r="M41" s="3"/>
      <x:c r="N41" s="78"/>
    </x:row>
    <x:row r="42" ht="21" customHeight="1">
      <x:c r="A42" s="3"/>
      <x:c r="B42" s="3"/>
      <x:c r="C42" s="5"/>
      <x:c r="D42" s="5"/>
      <x:c r="E42" s="5"/>
      <x:c r="F42" s="5"/>
      <x:c r="G42" s="5"/>
      <x:c r="H42" s="5"/>
      <x:c r="I42" s="5"/>
      <x:c r="J42" s="5"/>
      <x:c r="K42" s="5"/>
      <x:c r="L42" s="5"/>
      <x:c r="M42" s="3"/>
      <x:c r="N42" s="78"/>
    </x:row>
    <x:row r="43" ht="21" customHeight="1">
      <x:c r="A43" s="3"/>
      <x:c r="B43" s="3"/>
      <x:c r="C43" s="5"/>
      <x:c r="D43" s="5"/>
      <x:c r="E43" s="5"/>
      <x:c r="F43" s="5"/>
      <x:c r="G43" s="5"/>
      <x:c r="H43" s="5"/>
      <x:c r="I43" s="5"/>
      <x:c r="J43" s="5"/>
      <x:c r="K43" s="5"/>
      <x:c r="L43" s="5"/>
      <x:c r="M43" s="3"/>
      <x:c r="N43" s="78"/>
    </x:row>
    <x:row r="44" ht="21" customHeight="1">
      <x:c r="A44" s="3"/>
      <x:c r="B44" s="3"/>
      <x:c r="C44" s="5"/>
      <x:c r="D44" s="5"/>
      <x:c r="E44" s="5"/>
      <x:c r="F44" s="5"/>
      <x:c r="G44" s="5"/>
      <x:c r="H44" s="5"/>
      <x:c r="I44" s="5"/>
      <x:c r="J44" s="5"/>
      <x:c r="K44" s="5"/>
      <x:c r="L44" s="5"/>
      <x:c r="M44" s="3"/>
      <x:c r="N44" s="78"/>
    </x:row>
    <x:row r="45" ht="21" customHeight="1">
      <x:c r="A45" s="3"/>
      <x:c r="B45" s="3"/>
      <x:c r="C45" s="5"/>
      <x:c r="D45" s="5"/>
      <x:c r="E45" s="5"/>
      <x:c r="F45" s="5"/>
      <x:c r="G45" s="5"/>
      <x:c r="H45" s="5"/>
      <x:c r="I45" s="5"/>
      <x:c r="J45" s="5"/>
      <x:c r="K45" s="5"/>
      <x:c r="L45" s="5"/>
      <x:c r="M45" s="3"/>
      <x:c r="N45" s="78"/>
    </x:row>
    <x:row r="46" ht="21" customHeight="1">
      <x:c r="A46" s="3"/>
      <x:c r="B46" s="3"/>
      <x:c r="C46" s="5"/>
      <x:c r="D46" s="5"/>
      <x:c r="E46" s="5"/>
      <x:c r="F46" s="5"/>
      <x:c r="G46" s="5"/>
      <x:c r="H46" s="5"/>
      <x:c r="I46" s="5"/>
      <x:c r="J46" s="5"/>
      <x:c r="K46" s="5"/>
      <x:c r="L46" s="5"/>
      <x:c r="M46" s="3"/>
      <x:c r="N46" s="78"/>
    </x:row>
    <x:row r="47" ht="21" customHeight="1">
      <x:c r="A47" s="3"/>
      <x:c r="B47" s="3"/>
      <x:c r="C47" s="5"/>
      <x:c r="D47" s="5"/>
      <x:c r="E47" s="5"/>
      <x:c r="F47" s="5"/>
      <x:c r="G47" s="5"/>
      <x:c r="H47" s="5"/>
      <x:c r="I47" s="5"/>
      <x:c r="J47" s="5"/>
      <x:c r="K47" s="5"/>
      <x:c r="L47" s="5"/>
      <x:c r="M47" s="3"/>
      <x:c r="N47" s="78"/>
    </x:row>
    <x:row r="48" ht="21" customHeight="1">
      <x:c r="A48" s="3"/>
      <x:c r="B48" s="3"/>
      <x:c r="C48" s="5"/>
      <x:c r="D48" s="5"/>
      <x:c r="E48" s="5"/>
      <x:c r="F48" s="5"/>
      <x:c r="G48" s="5"/>
      <x:c r="H48" s="5"/>
      <x:c r="I48" s="5"/>
      <x:c r="J48" s="5"/>
      <x:c r="K48" s="5"/>
      <x:c r="L48" s="5"/>
      <x:c r="M48" s="3"/>
      <x:c r="N48" s="78"/>
    </x:row>
    <x:row r="49" ht="21" customHeight="1">
      <x:c r="A49" s="3"/>
      <x:c r="B49" s="3"/>
      <x:c r="C49" s="5"/>
      <x:c r="D49" s="5"/>
      <x:c r="E49" s="5"/>
      <x:c r="F49" s="5"/>
      <x:c r="G49" s="5"/>
      <x:c r="H49" s="5"/>
      <x:c r="I49" s="5"/>
      <x:c r="J49" s="5"/>
      <x:c r="K49" s="5"/>
      <x:c r="L49" s="5"/>
      <x:c r="M49" s="3"/>
      <x:c r="N49" s="78"/>
    </x:row>
    <x:row r="50" ht="21" customHeight="1">
      <x:c r="A50" s="3"/>
      <x:c r="B50" s="3"/>
      <x:c r="C50" s="5"/>
      <x:c r="D50" s="5"/>
      <x:c r="E50" s="5"/>
      <x:c r="F50" s="5"/>
      <x:c r="G50" s="5"/>
      <x:c r="H50" s="5"/>
      <x:c r="I50" s="5"/>
      <x:c r="J50" s="5"/>
      <x:c r="K50" s="5"/>
      <x:c r="L50" s="5"/>
      <x:c r="M50" s="3"/>
      <x:c r="N50" s="78"/>
    </x:row>
    <x:row r="51" ht="21" customHeight="1">
      <x:c r="A51" s="3"/>
      <x:c r="B51" s="3"/>
      <x:c r="C51" s="5"/>
      <x:c r="D51" s="5"/>
      <x:c r="E51" s="5"/>
      <x:c r="F51" s="5"/>
      <x:c r="G51" s="5"/>
      <x:c r="H51" s="5"/>
      <x:c r="I51" s="5"/>
      <x:c r="J51" s="5"/>
      <x:c r="K51" s="5"/>
      <x:c r="L51" s="5"/>
      <x:c r="M51" s="3"/>
      <x:c r="N51" s="78"/>
    </x:row>
    <x:row r="52" ht="21" customHeight="1">
      <x:c r="A52" s="3"/>
      <x:c r="B52" s="3"/>
      <x:c r="C52" s="5"/>
      <x:c r="D52" s="5"/>
      <x:c r="E52" s="5"/>
      <x:c r="F52" s="5"/>
      <x:c r="G52" s="5"/>
      <x:c r="H52" s="5"/>
      <x:c r="I52" s="5"/>
      <x:c r="J52" s="5"/>
      <x:c r="K52" s="5"/>
      <x:c r="L52" s="5"/>
      <x:c r="M52" s="3"/>
      <x:c r="N52" s="78"/>
    </x:row>
    <x:row r="53" ht="21" customHeight="1">
      <x:c r="A53" s="3"/>
      <x:c r="B53" s="3"/>
      <x:c r="C53" s="5"/>
      <x:c r="D53" s="5"/>
      <x:c r="E53" s="5"/>
      <x:c r="F53" s="5"/>
      <x:c r="G53" s="5"/>
      <x:c r="H53" s="5"/>
      <x:c r="I53" s="5"/>
      <x:c r="J53" s="5"/>
      <x:c r="K53" s="5"/>
      <x:c r="L53" s="5"/>
      <x:c r="M53" s="3"/>
      <x:c r="N53" s="78"/>
    </x:row>
    <x:row r="54" ht="21" customHeight="1">
      <x:c r="A54" s="3"/>
      <x:c r="B54" s="3"/>
      <x:c r="C54" s="5"/>
      <x:c r="D54" s="5"/>
      <x:c r="E54" s="5"/>
      <x:c r="F54" s="5"/>
      <x:c r="G54" s="5"/>
      <x:c r="H54" s="5"/>
      <x:c r="I54" s="5"/>
      <x:c r="J54" s="5"/>
      <x:c r="K54" s="5"/>
      <x:c r="L54" s="5"/>
      <x:c r="M54" s="3"/>
      <x:c r="N54" s="78"/>
    </x:row>
    <x:row r="55" ht="21" customHeight="1">
      <x:c r="A55" s="3"/>
      <x:c r="B55" s="3"/>
      <x:c r="C55" s="5"/>
      <x:c r="D55" s="5"/>
      <x:c r="E55" s="5"/>
      <x:c r="F55" s="5"/>
      <x:c r="G55" s="5"/>
      <x:c r="H55" s="5"/>
      <x:c r="I55" s="5"/>
      <x:c r="J55" s="5"/>
      <x:c r="K55" s="5"/>
      <x:c r="L55" s="5"/>
      <x:c r="M55" s="3"/>
      <x:c r="N55" s="78"/>
    </x:row>
    <x:row r="56" ht="21" customHeight="1">
      <x:c r="A56" s="3"/>
      <x:c r="B56" s="3"/>
      <x:c r="C56" s="5"/>
      <x:c r="D56" s="5"/>
      <x:c r="E56" s="5"/>
      <x:c r="F56" s="5"/>
      <x:c r="G56" s="5"/>
      <x:c r="H56" s="5"/>
      <x:c r="I56" s="5"/>
      <x:c r="J56" s="5"/>
      <x:c r="K56" s="5"/>
      <x:c r="L56" s="5"/>
      <x:c r="M56" s="3"/>
      <x:c r="N56" s="78"/>
    </x:row>
    <x:row r="57" ht="21" customHeight="1">
      <x:c r="A57" s="3"/>
      <x:c r="B57" s="3"/>
      <x:c r="C57" s="5"/>
      <x:c r="D57" s="5"/>
      <x:c r="E57" s="5"/>
      <x:c r="F57" s="5"/>
      <x:c r="G57" s="5"/>
      <x:c r="H57" s="5"/>
      <x:c r="I57" s="5"/>
      <x:c r="J57" s="5"/>
      <x:c r="K57" s="5"/>
      <x:c r="L57" s="5"/>
      <x:c r="M57" s="3"/>
      <x:c r="N57" s="78"/>
    </x:row>
    <x:row r="58" ht="21" customHeight="1">
      <x:c r="A58" s="3"/>
      <x:c r="B58" s="3"/>
      <x:c r="C58" s="5"/>
      <x:c r="D58" s="5"/>
      <x:c r="E58" s="5"/>
      <x:c r="F58" s="5"/>
      <x:c r="G58" s="5"/>
      <x:c r="H58" s="5"/>
      <x:c r="I58" s="5"/>
      <x:c r="J58" s="5"/>
      <x:c r="K58" s="5"/>
      <x:c r="L58" s="5"/>
      <x:c r="M58" s="3"/>
      <x:c r="N58" s="78"/>
    </x:row>
    <x:row r="59" ht="21" customHeight="1">
      <x:c r="A59" s="3"/>
      <x:c r="B59" s="3"/>
      <x:c r="C59" s="5"/>
      <x:c r="D59" s="5"/>
      <x:c r="E59" s="5"/>
      <x:c r="F59" s="5"/>
      <x:c r="G59" s="5"/>
      <x:c r="H59" s="5"/>
      <x:c r="I59" s="5"/>
      <x:c r="J59" s="5"/>
      <x:c r="K59" s="5"/>
      <x:c r="L59" s="5"/>
      <x:c r="M59" s="3"/>
      <x:c r="N59" s="78"/>
    </x:row>
    <x:row r="60" ht="21" customHeight="1">
      <x:c r="A60" s="3"/>
      <x:c r="B60" s="3"/>
      <x:c r="C60" s="5"/>
      <x:c r="D60" s="5"/>
      <x:c r="E60" s="5"/>
      <x:c r="F60" s="5"/>
      <x:c r="G60" s="5"/>
      <x:c r="H60" s="5"/>
      <x:c r="I60" s="5"/>
      <x:c r="J60" s="5"/>
      <x:c r="K60" s="5"/>
      <x:c r="L60" s="5"/>
      <x:c r="M60" s="3"/>
      <x:c r="N60" s="78"/>
    </x:row>
    <x:row r="61" ht="21" customHeight="1">
      <x:c r="A61" s="3"/>
      <x:c r="B61" s="3"/>
      <x:c r="C61" s="5"/>
      <x:c r="D61" s="5"/>
      <x:c r="E61" s="5"/>
      <x:c r="F61" s="5"/>
      <x:c r="G61" s="5"/>
      <x:c r="H61" s="5"/>
      <x:c r="I61" s="5"/>
      <x:c r="J61" s="5"/>
      <x:c r="K61" s="5"/>
      <x:c r="L61" s="5"/>
      <x:c r="M61" s="3"/>
      <x:c r="N61" s="78"/>
    </x:row>
    <x:row r="62" ht="21" customHeight="1">
      <x:c r="A62" s="3"/>
      <x:c r="B62" s="3"/>
      <x:c r="C62" s="5"/>
      <x:c r="D62" s="5"/>
      <x:c r="E62" s="5"/>
      <x:c r="F62" s="5"/>
      <x:c r="G62" s="5"/>
      <x:c r="H62" s="5"/>
      <x:c r="I62" s="5"/>
      <x:c r="J62" s="5"/>
      <x:c r="K62" s="5"/>
      <x:c r="L62" s="5"/>
      <x:c r="M62" s="3"/>
      <x:c r="N62" s="78"/>
    </x:row>
    <x:row r="63" ht="21" customHeight="1">
      <x:c r="A63" s="3"/>
      <x:c r="B63" s="3"/>
      <x:c r="C63" s="5"/>
      <x:c r="D63" s="5"/>
      <x:c r="E63" s="5"/>
      <x:c r="F63" s="5"/>
      <x:c r="G63" s="5"/>
      <x:c r="H63" s="5"/>
      <x:c r="I63" s="5"/>
      <x:c r="J63" s="5"/>
      <x:c r="K63" s="5"/>
      <x:c r="L63" s="5"/>
      <x:c r="M63" s="3"/>
      <x:c r="N63" s="78"/>
    </x:row>
    <x:row r="64" ht="21" customHeight="1">
      <x:c r="A64" s="3"/>
      <x:c r="B64" s="3"/>
      <x:c r="C64" s="5"/>
      <x:c r="D64" s="5"/>
      <x:c r="E64" s="5"/>
      <x:c r="F64" s="5"/>
      <x:c r="G64" s="5"/>
      <x:c r="H64" s="5"/>
      <x:c r="I64" s="5"/>
      <x:c r="J64" s="5"/>
      <x:c r="K64" s="5"/>
      <x:c r="L64" s="5"/>
      <x:c r="M64" s="3"/>
      <x:c r="N64" s="78"/>
    </x:row>
    <x:row r="65" ht="21" customHeight="1">
      <x:c r="A65" s="3"/>
      <x:c r="B65" s="3"/>
      <x:c r="C65" s="5"/>
      <x:c r="D65" s="5"/>
      <x:c r="E65" s="5"/>
      <x:c r="F65" s="5"/>
      <x:c r="G65" s="5"/>
      <x:c r="H65" s="5"/>
      <x:c r="I65" s="5"/>
      <x:c r="J65" s="5"/>
      <x:c r="K65" s="5"/>
      <x:c r="L65" s="5"/>
      <x:c r="M65" s="3"/>
      <x:c r="N65" s="78"/>
    </x:row>
    <x:row r="66" ht="21" customHeight="1">
      <x:c r="A66" s="3"/>
      <x:c r="B66" s="3"/>
      <x:c r="C66" s="5"/>
      <x:c r="D66" s="5"/>
      <x:c r="E66" s="5"/>
      <x:c r="F66" s="5"/>
      <x:c r="G66" s="5"/>
      <x:c r="H66" s="5"/>
      <x:c r="I66" s="5"/>
      <x:c r="J66" s="5"/>
      <x:c r="K66" s="5"/>
      <x:c r="L66" s="5"/>
      <x:c r="M66" s="3"/>
      <x:c r="N66" s="78"/>
    </x:row>
    <x:row r="67" ht="21" customHeight="1">
      <x:c r="A67" s="3"/>
      <x:c r="B67" s="3"/>
      <x:c r="C67" s="5"/>
      <x:c r="D67" s="5"/>
      <x:c r="E67" s="5"/>
      <x:c r="F67" s="5"/>
      <x:c r="G67" s="5"/>
      <x:c r="H67" s="5"/>
      <x:c r="I67" s="5"/>
      <x:c r="J67" s="5"/>
      <x:c r="K67" s="5"/>
      <x:c r="L67" s="5"/>
      <x:c r="M67" s="3"/>
      <x:c r="N67" s="78"/>
    </x:row>
    <x:row r="68" ht="21" customHeight="1">
      <x:c r="A68" s="3"/>
      <x:c r="B68" s="3"/>
      <x:c r="C68" s="5"/>
      <x:c r="D68" s="5"/>
      <x:c r="E68" s="5"/>
      <x:c r="F68" s="5"/>
      <x:c r="G68" s="5"/>
      <x:c r="H68" s="5"/>
      <x:c r="I68" s="5"/>
      <x:c r="J68" s="5"/>
      <x:c r="K68" s="5"/>
      <x:c r="L68" s="5"/>
      <x:c r="M68" s="3"/>
      <x:c r="N68" s="78"/>
    </x:row>
    <x:row r="69" ht="21" customHeight="1">
      <x:c r="A69" s="3"/>
      <x:c r="B69" s="3"/>
      <x:c r="C69" s="5"/>
      <x:c r="D69" s="5"/>
      <x:c r="E69" s="5"/>
      <x:c r="F69" s="5"/>
      <x:c r="G69" s="5"/>
      <x:c r="H69" s="5"/>
      <x:c r="I69" s="5"/>
      <x:c r="J69" s="5"/>
      <x:c r="K69" s="5"/>
      <x:c r="L69" s="5"/>
      <x:c r="M69" s="3"/>
      <x:c r="N69" s="78"/>
    </x:row>
    <x:row r="70" ht="21" customHeight="1">
      <x:c r="A70" s="3"/>
      <x:c r="B70" s="3"/>
      <x:c r="C70" s="5"/>
      <x:c r="D70" s="5"/>
      <x:c r="E70" s="5"/>
      <x:c r="F70" s="5"/>
      <x:c r="G70" s="5"/>
      <x:c r="H70" s="5"/>
      <x:c r="I70" s="5"/>
      <x:c r="J70" s="5"/>
      <x:c r="K70" s="5"/>
      <x:c r="L70" s="5"/>
      <x:c r="M70" s="3"/>
      <x:c r="N70" s="78"/>
    </x:row>
    <x:row r="71" ht="21" customHeight="1">
      <x:c r="A71" s="3"/>
      <x:c r="B71" s="3"/>
      <x:c r="C71" s="5"/>
      <x:c r="D71" s="5"/>
      <x:c r="E71" s="5"/>
      <x:c r="F71" s="5"/>
      <x:c r="G71" s="5"/>
      <x:c r="H71" s="5"/>
      <x:c r="I71" s="5"/>
      <x:c r="J71" s="5"/>
      <x:c r="K71" s="5"/>
      <x:c r="L71" s="5"/>
      <x:c r="M71" s="3"/>
      <x:c r="N71" s="78"/>
    </x:row>
    <x:row r="72" ht="21" customHeight="1">
      <x:c r="A72" s="3"/>
      <x:c r="B72" s="3"/>
      <x:c r="C72" s="5"/>
      <x:c r="D72" s="5"/>
      <x:c r="E72" s="5"/>
      <x:c r="F72" s="5"/>
      <x:c r="G72" s="5"/>
      <x:c r="H72" s="5"/>
      <x:c r="I72" s="5"/>
      <x:c r="J72" s="5"/>
      <x:c r="K72" s="5"/>
      <x:c r="L72" s="5"/>
      <x:c r="M72" s="3"/>
      <x:c r="N72" s="78"/>
    </x:row>
    <x:row r="73" ht="21" customHeight="1">
      <x:c r="A73" s="3"/>
      <x:c r="B73" s="3"/>
      <x:c r="C73" s="5"/>
      <x:c r="D73" s="5"/>
      <x:c r="E73" s="5"/>
      <x:c r="F73" s="5"/>
      <x:c r="G73" s="5"/>
      <x:c r="H73" s="5"/>
      <x:c r="I73" s="5"/>
      <x:c r="J73" s="5"/>
      <x:c r="K73" s="5"/>
      <x:c r="L73" s="5"/>
      <x:c r="M73" s="3"/>
      <x:c r="N73" s="78"/>
    </x:row>
    <x:row r="74" ht="21" customHeight="1">
      <x:c r="A74" s="3"/>
      <x:c r="B74" s="3"/>
      <x:c r="C74" s="5"/>
      <x:c r="D74" s="5"/>
      <x:c r="E74" s="5"/>
      <x:c r="F74" s="5"/>
      <x:c r="G74" s="5"/>
      <x:c r="H74" s="5"/>
      <x:c r="I74" s="5"/>
      <x:c r="J74" s="5"/>
      <x:c r="K74" s="5"/>
      <x:c r="L74" s="5"/>
      <x:c r="M74" s="3"/>
      <x:c r="N74" s="78"/>
    </x:row>
    <x:row r="75" ht="21" customHeight="1">
      <x:c r="A75" s="3"/>
      <x:c r="B75" s="3"/>
      <x:c r="C75" s="5"/>
      <x:c r="D75" s="5"/>
      <x:c r="E75" s="5"/>
      <x:c r="F75" s="5"/>
      <x:c r="G75" s="5"/>
      <x:c r="H75" s="5"/>
      <x:c r="I75" s="5"/>
      <x:c r="J75" s="5"/>
      <x:c r="K75" s="5"/>
      <x:c r="L75" s="5"/>
      <x:c r="M75" s="3"/>
      <x:c r="N75" s="78"/>
    </x:row>
    <x:row r="76" ht="21" customHeight="1">
      <x:c r="A76" s="3"/>
      <x:c r="B76" s="3"/>
      <x:c r="C76" s="5"/>
      <x:c r="D76" s="5"/>
      <x:c r="E76" s="5"/>
      <x:c r="F76" s="5"/>
      <x:c r="G76" s="5"/>
      <x:c r="H76" s="5"/>
      <x:c r="I76" s="5"/>
      <x:c r="J76" s="5"/>
      <x:c r="K76" s="5"/>
      <x:c r="L76" s="5"/>
      <x:c r="M76" s="3"/>
      <x:c r="N76" s="78"/>
    </x:row>
    <x:row r="77" ht="21" customHeight="1">
      <x:c r="A77" s="3"/>
      <x:c r="B77" s="3"/>
      <x:c r="C77" s="5"/>
      <x:c r="D77" s="5"/>
      <x:c r="E77" s="5"/>
      <x:c r="F77" s="5"/>
      <x:c r="G77" s="5"/>
      <x:c r="H77" s="5"/>
      <x:c r="I77" s="5"/>
      <x:c r="J77" s="5"/>
      <x:c r="K77" s="5"/>
      <x:c r="L77" s="5"/>
      <x:c r="M77" s="3"/>
      <x:c r="N77" s="78"/>
    </x:row>
    <x:row r="78" ht="21" customHeight="1">
      <x:c r="A78" s="3"/>
      <x:c r="B78" s="3"/>
      <x:c r="C78" s="5"/>
      <x:c r="D78" s="5"/>
      <x:c r="E78" s="5"/>
      <x:c r="F78" s="5"/>
      <x:c r="G78" s="5"/>
      <x:c r="H78" s="5"/>
      <x:c r="I78" s="5"/>
      <x:c r="J78" s="5"/>
      <x:c r="K78" s="5"/>
      <x:c r="L78" s="5"/>
      <x:c r="M78" s="3"/>
      <x:c r="N78" s="78"/>
    </x:row>
    <x:row r="79" ht="21" customHeight="1">
      <x:c r="A79" s="3"/>
      <x:c r="B79" s="3"/>
      <x:c r="C79" s="5"/>
      <x:c r="D79" s="5"/>
      <x:c r="E79" s="5"/>
      <x:c r="F79" s="5"/>
      <x:c r="G79" s="5"/>
      <x:c r="H79" s="5"/>
      <x:c r="I79" s="5"/>
      <x:c r="J79" s="5"/>
      <x:c r="K79" s="5"/>
      <x:c r="L79" s="5"/>
      <x:c r="M79" s="3"/>
      <x:c r="N79" s="78"/>
    </x:row>
    <x:row r="80" ht="21" customHeight="1">
      <x:c r="A80" s="3"/>
      <x:c r="B80" s="3"/>
      <x:c r="C80" s="5"/>
      <x:c r="D80" s="5"/>
      <x:c r="E80" s="5"/>
      <x:c r="F80" s="5"/>
      <x:c r="G80" s="5"/>
      <x:c r="H80" s="5"/>
      <x:c r="I80" s="5"/>
      <x:c r="J80" s="5"/>
      <x:c r="K80" s="5"/>
      <x:c r="L80" s="5"/>
      <x:c r="M80" s="3"/>
      <x:c r="N80" s="78"/>
    </x:row>
    <x:row r="81" ht="21" customHeight="1">
      <x:c r="A81" s="3"/>
      <x:c r="B81" s="3"/>
      <x:c r="C81" s="5"/>
      <x:c r="D81" s="5"/>
      <x:c r="E81" s="5"/>
      <x:c r="F81" s="5"/>
      <x:c r="G81" s="5"/>
      <x:c r="H81" s="5"/>
      <x:c r="I81" s="5"/>
      <x:c r="J81" s="5"/>
      <x:c r="K81" s="5"/>
      <x:c r="L81" s="5"/>
      <x:c r="M81" s="3"/>
      <x:c r="N81" s="78"/>
    </x:row>
    <x:row r="82" ht="21" customHeight="1">
      <x:c r="A82" s="3"/>
      <x:c r="B82" s="3"/>
      <x:c r="C82" s="5"/>
      <x:c r="D82" s="5"/>
      <x:c r="E82" s="5"/>
      <x:c r="F82" s="5"/>
      <x:c r="G82" s="5"/>
      <x:c r="H82" s="5"/>
      <x:c r="I82" s="5"/>
      <x:c r="J82" s="5"/>
      <x:c r="K82" s="5"/>
      <x:c r="L82" s="5"/>
      <x:c r="M82" s="3"/>
      <x:c r="N82" s="78"/>
    </x:row>
    <x:row r="83" ht="21" customHeight="1">
      <x:c r="A83" s="3"/>
      <x:c r="B83" s="3"/>
      <x:c r="C83" s="5"/>
      <x:c r="D83" s="5"/>
      <x:c r="E83" s="5"/>
      <x:c r="F83" s="5"/>
      <x:c r="G83" s="5"/>
      <x:c r="H83" s="5"/>
      <x:c r="I83" s="5"/>
      <x:c r="J83" s="5"/>
      <x:c r="K83" s="5"/>
      <x:c r="L83" s="5"/>
      <x:c r="M83" s="3"/>
      <x:c r="N83" s="78"/>
    </x:row>
    <x:row r="84" ht="21" customHeight="1">
      <x:c r="A84" s="3"/>
      <x:c r="B84" s="3"/>
      <x:c r="C84" s="5"/>
      <x:c r="D84" s="5"/>
      <x:c r="E84" s="5"/>
      <x:c r="F84" s="5"/>
      <x:c r="G84" s="5"/>
      <x:c r="H84" s="5"/>
      <x:c r="I84" s="5"/>
      <x:c r="J84" s="5"/>
      <x:c r="K84" s="5"/>
      <x:c r="L84" s="5"/>
      <x:c r="M84" s="3"/>
      <x:c r="N84" s="78"/>
    </x:row>
    <x:row r="85" ht="21" customHeight="1">
      <x:c r="A85" s="3"/>
      <x:c r="B85" s="3"/>
      <x:c r="C85" s="5"/>
      <x:c r="D85" s="5"/>
      <x:c r="E85" s="5"/>
      <x:c r="F85" s="5"/>
      <x:c r="G85" s="5"/>
      <x:c r="H85" s="5"/>
      <x:c r="I85" s="5"/>
      <x:c r="J85" s="5"/>
      <x:c r="K85" s="5"/>
      <x:c r="L85" s="5"/>
      <x:c r="M85" s="3"/>
      <x:c r="N85" s="78"/>
    </x:row>
    <x:row r="86" ht="21" customHeight="1">
      <x:c r="A86" s="3"/>
      <x:c r="B86" s="3"/>
      <x:c r="C86" s="5"/>
      <x:c r="D86" s="5"/>
      <x:c r="E86" s="5"/>
      <x:c r="F86" s="5"/>
      <x:c r="G86" s="5"/>
      <x:c r="H86" s="5"/>
      <x:c r="I86" s="5"/>
      <x:c r="J86" s="5"/>
      <x:c r="K86" s="5"/>
      <x:c r="L86" s="5"/>
      <x:c r="M86" s="3"/>
      <x:c r="N86" s="78"/>
    </x:row>
    <x:row r="87" ht="21" customHeight="1">
      <x:c r="A87" s="3"/>
      <x:c r="B87" s="3"/>
      <x:c r="C87" s="5"/>
      <x:c r="D87" s="5"/>
      <x:c r="E87" s="5"/>
      <x:c r="F87" s="5"/>
      <x:c r="G87" s="5"/>
      <x:c r="H87" s="5"/>
      <x:c r="I87" s="5"/>
      <x:c r="J87" s="5"/>
      <x:c r="K87" s="5"/>
      <x:c r="L87" s="5"/>
      <x:c r="M87" s="3"/>
      <x:c r="N87" s="78"/>
    </x:row>
    <x:row r="88" ht="21" customHeight="1">
      <x:c r="A88" s="3"/>
      <x:c r="B88" s="3"/>
      <x:c r="C88" s="5"/>
      <x:c r="D88" s="5"/>
      <x:c r="E88" s="5"/>
      <x:c r="F88" s="5"/>
      <x:c r="G88" s="5"/>
      <x:c r="H88" s="5"/>
      <x:c r="I88" s="5"/>
      <x:c r="J88" s="5"/>
      <x:c r="K88" s="5"/>
      <x:c r="L88" s="5"/>
      <x:c r="M88" s="3"/>
      <x:c r="N88" s="78"/>
    </x:row>
    <x:row r="89" ht="21" customHeight="1">
      <x:c r="A89" s="3"/>
      <x:c r="B89" s="3"/>
      <x:c r="C89" s="5"/>
      <x:c r="D89" s="5"/>
      <x:c r="E89" s="5"/>
      <x:c r="F89" s="5"/>
      <x:c r="G89" s="5"/>
      <x:c r="H89" s="5"/>
      <x:c r="I89" s="5"/>
      <x:c r="J89" s="5"/>
      <x:c r="K89" s="5"/>
      <x:c r="L89" s="5"/>
      <x:c r="M89" s="3"/>
      <x:c r="N89" s="78"/>
    </x:row>
    <x:row r="90" ht="21" customHeight="1">
      <x:c r="A90" s="3"/>
      <x:c r="B90" s="3"/>
      <x:c r="C90" s="5"/>
      <x:c r="D90" s="5"/>
      <x:c r="E90" s="5"/>
      <x:c r="F90" s="5"/>
      <x:c r="G90" s="5"/>
      <x:c r="H90" s="5"/>
      <x:c r="I90" s="5"/>
      <x:c r="J90" s="5"/>
      <x:c r="K90" s="5"/>
      <x:c r="L90" s="5"/>
      <x:c r="M90" s="3"/>
      <x:c r="N90" s="78"/>
    </x:row>
    <x:row r="91" ht="21" customHeight="1">
      <x:c r="A91" s="3"/>
      <x:c r="B91" s="3"/>
      <x:c r="C91" s="5"/>
      <x:c r="D91" s="5"/>
      <x:c r="E91" s="5"/>
      <x:c r="F91" s="5"/>
      <x:c r="G91" s="5"/>
      <x:c r="H91" s="5"/>
      <x:c r="I91" s="5"/>
      <x:c r="J91" s="5"/>
      <x:c r="K91" s="5"/>
      <x:c r="L91" s="5"/>
      <x:c r="M91" s="3"/>
      <x:c r="N91" s="78"/>
    </x:row>
    <x:row r="92" ht="21" customHeight="1">
      <x:c r="A92" s="3"/>
      <x:c r="B92" s="3"/>
      <x:c r="C92" s="5"/>
      <x:c r="D92" s="5"/>
      <x:c r="E92" s="5"/>
      <x:c r="F92" s="5"/>
      <x:c r="G92" s="5"/>
      <x:c r="H92" s="5"/>
      <x:c r="I92" s="5"/>
      <x:c r="J92" s="5"/>
      <x:c r="K92" s="5"/>
      <x:c r="L92" s="5"/>
      <x:c r="M92" s="3"/>
      <x:c r="N92" s="78"/>
    </x:row>
    <x:row r="93" ht="21" customHeight="1">
      <x:c r="A93" s="3"/>
      <x:c r="B93" s="3"/>
      <x:c r="C93" s="5"/>
      <x:c r="D93" s="5"/>
      <x:c r="E93" s="5"/>
      <x:c r="F93" s="5"/>
      <x:c r="G93" s="5"/>
      <x:c r="H93" s="5"/>
      <x:c r="I93" s="5"/>
      <x:c r="J93" s="5"/>
      <x:c r="K93" s="5"/>
      <x:c r="L93" s="5"/>
      <x:c r="M93" s="3"/>
      <x:c r="N93" s="78"/>
    </x:row>
    <x:row r="94" ht="21" customHeight="1">
      <x:c r="A94" s="3"/>
      <x:c r="B94" s="3"/>
      <x:c r="C94" s="5"/>
      <x:c r="D94" s="5"/>
      <x:c r="E94" s="5"/>
      <x:c r="F94" s="5"/>
      <x:c r="G94" s="5"/>
      <x:c r="H94" s="5"/>
      <x:c r="I94" s="5"/>
      <x:c r="J94" s="5"/>
      <x:c r="K94" s="5"/>
      <x:c r="L94" s="5"/>
      <x:c r="M94" s="3"/>
      <x:c r="N94" s="78"/>
    </x:row>
    <x:row r="95" ht="21" customHeight="1">
      <x:c r="A95" s="3"/>
      <x:c r="B95" s="3"/>
      <x:c r="C95" s="5"/>
      <x:c r="D95" s="5"/>
      <x:c r="E95" s="5"/>
      <x:c r="F95" s="5"/>
      <x:c r="G95" s="5"/>
      <x:c r="H95" s="5"/>
      <x:c r="I95" s="5"/>
      <x:c r="J95" s="5"/>
      <x:c r="K95" s="5"/>
      <x:c r="L95" s="5"/>
      <x:c r="M95" s="3"/>
      <x:c r="N95" s="78"/>
    </x:row>
    <x:row r="96" ht="21" customHeight="1">
      <x:c r="A96" s="3"/>
      <x:c r="B96" s="3"/>
      <x:c r="C96" s="5"/>
      <x:c r="D96" s="5"/>
      <x:c r="E96" s="5"/>
      <x:c r="F96" s="5"/>
      <x:c r="G96" s="5"/>
      <x:c r="H96" s="5"/>
      <x:c r="I96" s="5"/>
      <x:c r="J96" s="5"/>
      <x:c r="K96" s="5"/>
      <x:c r="L96" s="5"/>
      <x:c r="M96" s="3"/>
      <x:c r="N96" s="78"/>
    </x:row>
    <x:row r="97" ht="21" customHeight="1">
      <x:c r="A97" s="3"/>
      <x:c r="B97" s="3"/>
      <x:c r="C97" s="5"/>
      <x:c r="D97" s="5"/>
      <x:c r="E97" s="5"/>
      <x:c r="F97" s="5"/>
      <x:c r="G97" s="5"/>
      <x:c r="H97" s="5"/>
      <x:c r="I97" s="5"/>
      <x:c r="J97" s="5"/>
      <x:c r="K97" s="5"/>
      <x:c r="L97" s="5"/>
      <x:c r="M97" s="3"/>
      <x:c r="N97" s="78"/>
    </x:row>
    <x:row r="98" ht="21" customHeight="1">
      <x:c r="A98" s="3"/>
      <x:c r="B98" s="3"/>
      <x:c r="C98" s="5"/>
      <x:c r="D98" s="5"/>
      <x:c r="E98" s="5"/>
      <x:c r="F98" s="5"/>
      <x:c r="G98" s="5"/>
      <x:c r="H98" s="5"/>
      <x:c r="I98" s="5"/>
      <x:c r="J98" s="5"/>
      <x:c r="K98" s="5"/>
      <x:c r="L98" s="5"/>
      <x:c r="M98" s="3"/>
      <x:c r="N98" s="78"/>
    </x:row>
    <x:row r="99" ht="21" customHeight="1">
      <x:c r="A99" s="3"/>
      <x:c r="B99" s="3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3"/>
      <x:c r="N99" s="78"/>
    </x:row>
    <x:row r="100" ht="21" customHeight="1">
      <x:c r="A100" s="3"/>
      <x:c r="B100" s="3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3"/>
      <x:c r="N100" s="7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4" hidden="0" customWidth="1"/>
    <x:col min="2" max="2" width="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3" hidden="0" customWidth="1"/>
    <x:col min="14" max="14" width="58" hidden="0" customWidth="1"/>
  </x:cols>
  <x:sheetData>
    <x:row r="1" ht="21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78"/>
    </x:row>
    <x:row r="2" ht="21" customHeight="1">
      <x:c r="A2" s="8" t="str">
        <x:v>Cash Flow Statement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78"/>
    </x:row>
    <x:row r="3" ht="21" customHeight="1">
      <x:c r="A3" s="6" t="str">
        <x:v>Consolidated. ₹ crore except per-share values.</x:v>
      </x:c>
      <x:c r="B3" s="3"/>
      <x:c r="C3" s="3"/>
      <x:c r="D3" s="3"/>
      <x:c r="E3" s="3"/>
      <x:c r="F3" s="3"/>
      <x:c r="G3" s="3"/>
      <x:c r="H3" s="6" t="str">
        <x:v>Selected case</x:v>
      </x:c>
      <x:c r="I3" s="3"/>
      <x:c r="J3" s="14" t="str">
        <x:f>'02_Assumptions'!E3</x:f>
        <x:v>Base</x:v>
      </x:c>
      <x:c r="K3" s="3"/>
      <x:c r="L3" s="3"/>
      <x:c r="M3" s="3"/>
      <x:c r="N3" s="78"/>
    </x:row>
    <x:row r="4" ht="21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78"/>
    </x:row>
    <x:row r="5" ht="24" customHeight="1">
      <x:c r="A5" s="12" t="str">
        <x:v>Line item</x:v>
      </x:c>
      <x:c r="B5" s="12"/>
      <x:c r="C5" s="12" t="str">
        <x:v>FY2022A</x:v>
      </x:c>
      <x:c r="D5" s="12" t="str">
        <x:v>FY2023A</x:v>
      </x:c>
      <x:c r="E5" s="12" t="str">
        <x:v>FY2024A</x:v>
      </x:c>
      <x:c r="F5" s="12" t="str">
        <x:v>FY2025A</x:v>
      </x:c>
      <x:c r="G5" s="12" t="str">
        <x:v>FY2026A</x:v>
      </x:c>
      <x:c r="H5" s="12" t="str">
        <x:v>FY2027E</x:v>
      </x:c>
      <x:c r="I5" s="12" t="str">
        <x:v>FY2028E</x:v>
      </x:c>
      <x:c r="J5" s="12" t="str">
        <x:v>FY2029E</x:v>
      </x:c>
      <x:c r="K5" s="12" t="str">
        <x:v>FY2030E</x:v>
      </x:c>
      <x:c r="L5" s="12" t="str">
        <x:v>FY2031E</x:v>
      </x:c>
      <x:c r="M5" s="3"/>
      <x:c r="N5" s="78"/>
    </x:row>
    <x:row r="6" ht="21" customHeight="1">
      <x:c r="A6" s="3"/>
      <x:c r="B6" s="3"/>
      <x:c r="C6" s="5"/>
      <x:c r="D6" s="5"/>
      <x:c r="E6" s="5"/>
      <x:c r="F6" s="5"/>
      <x:c r="G6" s="5"/>
      <x:c r="H6" s="5"/>
      <x:c r="I6" s="5"/>
      <x:c r="J6" s="5"/>
      <x:c r="K6" s="5"/>
      <x:c r="L6" s="5"/>
      <x:c r="M6" s="3"/>
      <x:c r="N6" s="78"/>
    </x:row>
    <x:row r="7" ht="24" customHeight="1">
      <x:c r="A7" s="18" t="str">
        <x:v>Cash flow</x:v>
      </x:c>
      <x:c r="B7" s="18"/>
      <x:c r="C7" s="19"/>
      <x:c r="D7" s="19"/>
      <x:c r="E7" s="19"/>
      <x:c r="F7" s="19"/>
      <x:c r="G7" s="19"/>
      <x:c r="H7" s="19"/>
      <x:c r="I7" s="19"/>
      <x:c r="J7" s="19"/>
      <x:c r="K7" s="19"/>
      <x:c r="L7" s="19"/>
      <x:c r="M7" s="3"/>
      <x:c r="N7" s="78"/>
    </x:row>
    <x:row r="8" ht="21" customHeight="1">
      <x:c r="A8" s="20" t="str">
        <x:v>Cash from operating activities</x:v>
      </x:c>
      <x:c r="B8" s="21"/>
      <x:c r="C8" s="23" t="n">
        <x:f>'10_Historical'!C50</x:f>
        <x:v>182.646</x:v>
      </x:c>
      <x:c r="D8" s="23" t="n">
        <x:f>'10_Historical'!D50</x:f>
        <x:v>162.7934</x:v>
      </x:c>
      <x:c r="E8" s="23" t="n">
        <x:f>'10_Historical'!E50</x:f>
        <x:v>254.7773</x:v>
      </x:c>
      <x:c r="F8" s="23" t="n">
        <x:f>'10_Historical'!F50</x:f>
        <x:v>223.43</x:v>
      </x:c>
      <x:c r="G8" s="23" t="n">
        <x:f>'10_Historical'!G50</x:f>
        <x:v>281.26</x:v>
      </x:c>
      <x:c r="H8" s="23" t="n">
        <x:f>'03_Income_Statement'!H17+'03_Income_Statement'!H12+H29-H30-'06_Schedules'!H18</x:f>
        <x:v>343.8846485105338</x:v>
      </x:c>
      <x:c r="I8" s="23" t="n">
        <x:f>'03_Income_Statement'!I17+'03_Income_Statement'!I12+I29-I30-'06_Schedules'!I18</x:f>
        <x:v>400.141985021887</x:v>
      </x:c>
      <x:c r="J8" s="23" t="n">
        <x:f>'03_Income_Statement'!J17+'03_Income_Statement'!J12+J29-J30-'06_Schedules'!J18</x:f>
        <x:v>456.6412406705517</x:v>
      </x:c>
      <x:c r="K8" s="23" t="n">
        <x:f>'03_Income_Statement'!K17+'03_Income_Statement'!K12+K29-K30-'06_Schedules'!K18</x:f>
        <x:v>513.3509331579824</x:v>
      </x:c>
      <x:c r="L8" s="23" t="n">
        <x:f>'03_Income_Statement'!L17+'03_Income_Statement'!L12+L29-L30-'06_Schedules'!L18</x:f>
        <x:v>570.2667196394098</x:v>
      </x:c>
      <x:c r="M8" s="3"/>
      <x:c r="N8" s="79" t="str">
        <x:v>Forecast finance costs are paid in financing cash flow.</x:v>
      </x:c>
    </x:row>
    <x:row r="9" ht="21" customHeight="1">
      <x:c r="A9" s="6" t="str">
        <x:v>Cash from investing activities</x:v>
      </x:c>
      <x:c r="B9" s="3"/>
      <x:c r="C9" s="13" t="n">
        <x:f>'10_Historical'!C51</x:f>
        <x:v>-44.673</x:v>
      </x:c>
      <x:c r="D9" s="13" t="n">
        <x:f>'10_Historical'!D51</x:f>
        <x:v>-65.5437</x:v>
      </x:c>
      <x:c r="E9" s="13" t="n">
        <x:f>'10_Historical'!E51</x:f>
        <x:v>-129.3255</x:v>
      </x:c>
      <x:c r="F9" s="13" t="n">
        <x:f>'10_Historical'!F51</x:f>
        <x:v>-376.99</x:v>
      </x:c>
      <x:c r="G9" s="13" t="n">
        <x:f>'10_Historical'!G51</x:f>
        <x:v>-297.92</x:v>
      </x:c>
      <x:c r="H9" s="13" t="n">
        <x:f>-'06_Schedules'!H23+H30</x:f>
        <x:v>-346.7871281071737</x:v>
      </x:c>
      <x:c r="I9" s="13" t="n">
        <x:f>-'06_Schedules'!I23+I30</x:f>
        <x:v>-346.39036678686256</x:v>
      </x:c>
      <x:c r="J9" s="13" t="n">
        <x:f>-'06_Schedules'!J23+J30</x:f>
        <x:v>-276.41830031077615</x:v>
      </x:c>
      <x:c r="K9" s="13" t="n">
        <x:f>-'06_Schedules'!K23+K30</x:f>
        <x:v>-305.8320800044039</x:v>
      </x:c>
      <x:c r="L9" s="13" t="n">
        <x:f>-'06_Schedules'!L23+L30</x:f>
        <x:v>-336.03912801860906</x:v>
      </x:c>
      <x:c r="M9" s="3"/>
      <x:c r="N9" s="79" t="str">
        <x:v>Interest income is received in investing cash flow.</x:v>
      </x:c>
    </x:row>
    <x:row r="10" ht="21" customHeight="1">
      <x:c r="A10" s="6" t="str">
        <x:v>Cash from financing activities</x:v>
      </x:c>
      <x:c r="B10" s="3"/>
      <x:c r="C10" s="13" t="n">
        <x:f>'10_Historical'!C52</x:f>
        <x:v>-153.5923</x:v>
      </x:c>
      <x:c r="D10" s="13" t="n">
        <x:f>'10_Historical'!D52</x:f>
        <x:v>-63.8388</x:v>
      </x:c>
      <x:c r="E10" s="13" t="n">
        <x:f>'10_Historical'!E52</x:f>
        <x:v>-68.9063</x:v>
      </x:c>
      <x:c r="F10" s="13" t="n">
        <x:f>'10_Historical'!F52</x:f>
        <x:v>142.1</x:v>
      </x:c>
      <x:c r="G10" s="13" t="n">
        <x:f>'10_Historical'!G52</x:f>
        <x:v>33.48</x:v>
      </x:c>
      <x:c r="H10" s="13" t="n">
        <x:f>'06_Schedules'!H58-'06_Schedules'!H51-'06_Schedules'!H59-'06_Schedules'!H43-'06_Schedules'!H53-H29</x:f>
        <x:v>-25.424200403360068</x:v>
      </x:c>
      <x:c r="I10" s="13" t="n">
        <x:f>'06_Schedules'!I58-'06_Schedules'!I51-'06_Schedules'!I59-'06_Schedules'!I43-'06_Schedules'!I53-I29</x:f>
        <x:v>-42.69010383502449</x:v>
      </x:c>
      <x:c r="J10" s="13" t="n">
        <x:f>'06_Schedules'!J58-'06_Schedules'!J51-'06_Schedules'!J59-'06_Schedules'!J43-'06_Schedules'!J53-J29</x:f>
        <x:v>-168.68100399177555</x:v>
      </x:c>
      <x:c r="K10" s="13" t="n">
        <x:f>'06_Schedules'!K58-'06_Schedules'!K51-'06_Schedules'!K59-'06_Schedules'!K43-'06_Schedules'!K53-K29</x:f>
        <x:v>-195.58207900221845</x:v>
      </x:c>
      <x:c r="L10" s="13" t="n">
        <x:f>'06_Schedules'!L58-'06_Schedules'!L51-'06_Schedules'!L59-'06_Schedules'!L43-'06_Schedules'!L53-L29</x:f>
        <x:v>-221.96889132180547</x:v>
      </x:c>
      <x:c r="M10" s="3"/>
      <x:c r="N10" s="78"/>
    </x:row>
    <x:row r="11" ht="21" customHeight="1">
      <x:c r="A11" s="6" t="str">
        <x:v>Separately reported FX effect on cash</x:v>
      </x:c>
      <x:c r="B11" s="3"/>
      <x:c r="C11" s="13" t="n">
        <x:f>'10_Historical'!C53</x:f>
        <x:v>0</x:v>
      </x:c>
      <x:c r="D11" s="13" t="n">
        <x:f>'10_Historical'!D53</x:f>
        <x:v>0</x:v>
      </x:c>
      <x:c r="E11" s="13" t="n">
        <x:f>'10_Historical'!E53</x:f>
        <x:v>0</x:v>
      </x:c>
      <x:c r="F11" s="13" t="n">
        <x:f>'10_Historical'!F53</x:f>
        <x:v>0</x:v>
      </x:c>
      <x:c r="G11" s="13" t="n">
        <x:f>'10_Historical'!G53</x:f>
        <x:v>0</x:v>
      </x:c>
      <x:c r="H11" s="5" t="n">
        <x:f>0</x:f>
        <x:v>0</x:v>
      </x:c>
      <x:c r="I11" s="5" t="n">
        <x:f>0</x:f>
        <x:v>0</x:v>
      </x:c>
      <x:c r="J11" s="5" t="n">
        <x:f>0</x:f>
        <x:v>0</x:v>
      </x:c>
      <x:c r="K11" s="5" t="n">
        <x:f>0</x:f>
        <x:v>0</x:v>
      </x:c>
      <x:c r="L11" s="5" t="n">
        <x:f>0</x:f>
        <x:v>0</x:v>
      </x:c>
      <x:c r="M11" s="3"/>
      <x:c r="N11" s="78"/>
    </x:row>
    <x:row r="12" ht="21" customHeight="1">
      <x:c r="A12" s="6" t="str">
        <x:v>Opening cash and cash equivalents</x:v>
      </x:c>
      <x:c r="B12" s="3"/>
      <x:c r="C12" s="13" t="n">
        <x:f>'10_Historical'!C54</x:f>
        <x:v>38.2052</x:v>
      </x:c>
      <x:c r="D12" s="13" t="n">
        <x:f>'10_Historical'!D54</x:f>
        <x:v>22.5859</x:v>
      </x:c>
      <x:c r="E12" s="13" t="n">
        <x:f>'10_Historical'!E54</x:f>
        <x:v>55.9968</x:v>
      </x:c>
      <x:c r="F12" s="13" t="n">
        <x:f>'10_Historical'!F54</x:f>
        <x:v>112.54</x:v>
      </x:c>
      <x:c r="G12" s="13" t="n">
        <x:f>'10_Historical'!G54</x:f>
        <x:v>101.08</x:v>
      </x:c>
      <x:c r="H12" s="5" t="n">
        <x:f>G13</x:f>
        <x:v>117.9</x:v>
      </x:c>
      <x:c r="I12" s="5" t="n">
        <x:f>H13</x:f>
        <x:v>89.57332000000002</x:v>
      </x:c>
      <x:c r="J12" s="5" t="n">
        <x:f>I13</x:f>
        <x:v>100.6348344</x:v>
      </x:c>
      <x:c r="K12" s="5" t="n">
        <x:f>J13</x:f>
        <x:v>112.17677076800003</x:v>
      </x:c>
      <x:c r="L12" s="5" t="n">
        <x:f>K13</x:f>
        <x:v>124.11354491936002</x:v>
      </x:c>
      <x:c r="M12" s="3"/>
      <x:c r="N12" s="78"/>
    </x:row>
    <x:row r="13" ht="21" customHeight="1">
      <x:c r="A13" s="20" t="str">
        <x:v>Closing cash and cash equivalents</x:v>
      </x:c>
      <x:c r="B13" s="21"/>
      <x:c r="C13" s="23" t="n">
        <x:f>'10_Historical'!C55</x:f>
        <x:v>22.5859</x:v>
      </x:c>
      <x:c r="D13" s="23" t="n">
        <x:f>'10_Historical'!D55</x:f>
        <x:v>55.9968</x:v>
      </x:c>
      <x:c r="E13" s="23" t="n">
        <x:f>'10_Historical'!E55</x:f>
        <x:v>112.5423</x:v>
      </x:c>
      <x:c r="F13" s="23" t="n">
        <x:f>'10_Historical'!F55</x:f>
        <x:v>101.08</x:v>
      </x:c>
      <x:c r="G13" s="23" t="n">
        <x:f>'10_Historical'!G55</x:f>
        <x:v>117.9</x:v>
      </x:c>
      <x:c r="H13" s="22" t="n">
        <x:f>SUM(H8:H12)</x:f>
        <x:v>89.57332000000002</x:v>
      </x:c>
      <x:c r="I13" s="22" t="n">
        <x:f>SUM(I8:I12)</x:f>
        <x:v>100.6348344</x:v>
      </x:c>
      <x:c r="J13" s="22" t="n">
        <x:f>SUM(J8:J12)</x:f>
        <x:v>112.17677076800003</x:v>
      </x:c>
      <x:c r="K13" s="22" t="n">
        <x:f>SUM(K8:K12)</x:f>
        <x:v>124.11354491936002</x:v>
      </x:c>
      <x:c r="L13" s="22" t="n">
        <x:f>SUM(L8:L12)</x:f>
        <x:v>136.37224521835526</x:v>
      </x:c>
      <x:c r="M13" s="3"/>
      <x:c r="N13" s="78"/>
    </x:row>
    <x:row r="14" ht="21" customHeight="1">
      <x:c r="A14" s="3"/>
      <x:c r="B14" s="3"/>
      <x:c r="C14" s="5"/>
      <x:c r="D14" s="5"/>
      <x:c r="E14" s="5"/>
      <x:c r="F14" s="5"/>
      <x:c r="G14" s="5"/>
      <x:c r="H14" s="5"/>
      <x:c r="I14" s="5"/>
      <x:c r="J14" s="5"/>
      <x:c r="K14" s="5"/>
      <x:c r="L14" s="5"/>
      <x:c r="M14" s="3"/>
      <x:c r="N14" s="78"/>
    </x:row>
    <x:row r="15" ht="21" customHeight="1">
      <x:c r="A15" s="3"/>
      <x:c r="B15" s="3"/>
      <x:c r="C15" s="5"/>
      <x:c r="D15" s="5"/>
      <x:c r="E15" s="5"/>
      <x:c r="F15" s="5"/>
      <x:c r="G15" s="5"/>
      <x:c r="H15" s="5"/>
      <x:c r="I15" s="5"/>
      <x:c r="J15" s="5"/>
      <x:c r="K15" s="5"/>
      <x:c r="L15" s="5"/>
      <x:c r="M15" s="3"/>
      <x:c r="N15" s="78"/>
    </x:row>
    <x:row r="16" ht="21" customHeight="1">
      <x:c r="A16" s="6" t="str">
        <x:v>Cash roll-forward difference</x:v>
      </x:c>
      <x:c r="B16" s="3"/>
      <x:c r="C16" s="5" t="n">
        <x:f>ROUND(SUM(C8:C12)-C13,8)</x:f>
        <x:v>0</x:v>
      </x:c>
      <x:c r="D16" s="5" t="n">
        <x:f>ROUND(SUM(D8:D12)-D13,8)</x:f>
        <x:v>0</x:v>
      </x:c>
      <x:c r="E16" s="5" t="n">
        <x:f>ROUND(SUM(E8:E12)-E13,8)</x:f>
        <x:v>0</x:v>
      </x:c>
      <x:c r="F16" s="5" t="n">
        <x:f>ROUND(SUM(F8:F12)-F13,8)</x:f>
        <x:v>0</x:v>
      </x:c>
      <x:c r="G16" s="5" t="n">
        <x:f>ROUND(SUM(G8:G12)-G13,8)</x:f>
        <x:v>0</x:v>
      </x:c>
      <x:c r="H16" s="5" t="n">
        <x:f>ROUND(SUM(H8:H12)-H13,8)</x:f>
        <x:v>0</x:v>
      </x:c>
      <x:c r="I16" s="5" t="n">
        <x:f>ROUND(SUM(I8:I12)-I13,8)</x:f>
        <x:v>0</x:v>
      </x:c>
      <x:c r="J16" s="5" t="n">
        <x:f>ROUND(SUM(J8:J12)-J13,8)</x:f>
        <x:v>0</x:v>
      </x:c>
      <x:c r="K16" s="5" t="n">
        <x:f>ROUND(SUM(K8:K12)-K13,8)</x:f>
        <x:v>0</x:v>
      </x:c>
      <x:c r="L16" s="5" t="n">
        <x:f>ROUND(SUM(L8:L12)-L13,8)</x:f>
        <x:v>0</x:v>
      </x:c>
      <x:c r="M16" s="3"/>
      <x:c r="N16" s="78"/>
    </x:row>
    <x:row r="17" ht="21" customHeight="1">
      <x:c r="A17" s="6" t="str">
        <x:v>Cash vs balance sheet</x:v>
      </x:c>
      <x:c r="B17" s="3"/>
      <x:c r="C17" s="13" t="n">
        <x:f>ROUND(C13-'04_Balance_Sheet'!C15,8)</x:f>
        <x:v>0</x:v>
      </x:c>
      <x:c r="D17" s="13" t="n">
        <x:f>ROUND(D13-'04_Balance_Sheet'!D15,8)</x:f>
        <x:v>0</x:v>
      </x:c>
      <x:c r="E17" s="13" t="n">
        <x:f>ROUND(E13-'04_Balance_Sheet'!E15,8)</x:f>
        <x:v>0</x:v>
      </x:c>
      <x:c r="F17" s="13" t="n">
        <x:f>ROUND(F13-'04_Balance_Sheet'!F15,8)</x:f>
        <x:v>0</x:v>
      </x:c>
      <x:c r="G17" s="13" t="n">
        <x:f>ROUND(G13-'04_Balance_Sheet'!G15,8)</x:f>
        <x:v>0</x:v>
      </x:c>
      <x:c r="H17" s="13" t="n">
        <x:f>ROUND(H13-'04_Balance_Sheet'!H15,8)</x:f>
        <x:v>0</x:v>
      </x:c>
      <x:c r="I17" s="13" t="n">
        <x:f>ROUND(I13-'04_Balance_Sheet'!I15,8)</x:f>
        <x:v>0</x:v>
      </x:c>
      <x:c r="J17" s="13" t="n">
        <x:f>ROUND(J13-'04_Balance_Sheet'!J15,8)</x:f>
        <x:v>0</x:v>
      </x:c>
      <x:c r="K17" s="13" t="n">
        <x:f>ROUND(K13-'04_Balance_Sheet'!K15,8)</x:f>
        <x:v>0</x:v>
      </x:c>
      <x:c r="L17" s="13" t="n">
        <x:f>ROUND(L13-'04_Balance_Sheet'!L15,8)</x:f>
        <x:v>0</x:v>
      </x:c>
      <x:c r="M17" s="3"/>
      <x:c r="N17" s="78"/>
    </x:row>
    <x:row r="18" ht="21" customHeight="1">
      <x:c r="A18" s="3"/>
      <x:c r="B18" s="3"/>
      <x:c r="C18" s="5"/>
      <x:c r="D18" s="5"/>
      <x:c r="E18" s="5"/>
      <x:c r="F18" s="5"/>
      <x:c r="G18" s="5"/>
      <x:c r="H18" s="5"/>
      <x:c r="I18" s="5"/>
      <x:c r="J18" s="5"/>
      <x:c r="K18" s="5"/>
      <x:c r="L18" s="5"/>
      <x:c r="M18" s="3"/>
      <x:c r="N18" s="78"/>
    </x:row>
    <x:row r="19" ht="21" customHeight="1">
      <x:c r="A19" s="3"/>
      <x:c r="B19" s="3"/>
      <x:c r="C19" s="5"/>
      <x:c r="D19" s="5"/>
      <x:c r="E19" s="5"/>
      <x:c r="F19" s="5"/>
      <x:c r="G19" s="5"/>
      <x:c r="H19" s="5"/>
      <x:c r="I19" s="5"/>
      <x:c r="J19" s="5"/>
      <x:c r="K19" s="5"/>
      <x:c r="L19" s="5"/>
      <x:c r="M19" s="3"/>
      <x:c r="N19" s="78"/>
    </x:row>
    <x:row r="20" ht="24" customHeight="1">
      <x:c r="A20" s="18" t="str">
        <x:v>Forecast cash-flow detail</x:v>
      </x:c>
      <x:c r="B20" s="18"/>
      <x:c r="C20" s="19"/>
      <x:c r="D20" s="19"/>
      <x:c r="E20" s="19"/>
      <x:c r="F20" s="19"/>
      <x:c r="G20" s="19"/>
      <x:c r="H20" s="19"/>
      <x:c r="I20" s="19"/>
      <x:c r="J20" s="19"/>
      <x:c r="K20" s="19"/>
      <x:c r="L20" s="19"/>
      <x:c r="M20" s="3"/>
      <x:c r="N20" s="78"/>
    </x:row>
    <x:row r="21" ht="21" customHeight="1">
      <x:c r="A21" s="6" t="str">
        <x:v>Profit after tax</x:v>
      </x:c>
      <x:c r="B21" s="3"/>
      <x:c r="C21" s="5"/>
      <x:c r="D21" s="5"/>
      <x:c r="E21" s="5"/>
      <x:c r="F21" s="5"/>
      <x:c r="G21" s="5"/>
      <x:c r="H21" s="13" t="n">
        <x:f>'03_Income_Statement'!H17</x:f>
        <x:v>272.5975404033601</x:v>
      </x:c>
      <x:c r="I21" s="13" t="n">
        <x:f>'03_Income_Statement'!I17</x:f>
        <x:v>307.76101507588135</x:v>
      </x:c>
      <x:c r="J21" s="13" t="n">
        <x:f>'03_Income_Statement'!J17</x:f>
        <x:v>349.35983311231763</x:v>
      </x:c>
      <x:c r="K21" s="13" t="n">
        <x:f>'03_Income_Statement'!K17</x:f>
        <x:v>403.4252453151812</x:v>
      </x:c>
      <x:c r="L21" s="13" t="n">
        <x:f>'03_Income_Statement'!L17</x:f>
        <x:v>468.61873645907986</x:v>
      </x:c>
      <x:c r="M21" s="3"/>
      <x:c r="N21" s="78"/>
    </x:row>
    <x:row r="22" ht="21" customHeight="1">
      <x:c r="A22" s="6" t="str">
        <x:v>Depreciation and amortisation</x:v>
      </x:c>
      <x:c r="B22" s="3"/>
      <x:c r="C22" s="5"/>
      <x:c r="D22" s="5"/>
      <x:c r="E22" s="5"/>
      <x:c r="F22" s="5"/>
      <x:c r="G22" s="5"/>
      <x:c r="H22" s="13" t="n">
        <x:f>'03_Income_Statement'!H12</x:f>
        <x:v>121.18394999999998</x:v>
      </x:c>
      <x:c r="I22" s="13" t="n">
        <x:f>'03_Income_Statement'!I12</x:f>
        <x:v>140.8480395</x:v>
      </x:c>
      <x:c r="J22" s="13" t="n">
        <x:f>'03_Income_Statement'!J12</x:f>
        <x:v>156.99944381412</x:v>
      </x:c>
      <x:c r="K22" s="13" t="n">
        <x:f>'03_Income_Statement'!K12</x:f>
        <x:v>170.4190870038516</x:v>
      </x:c>
      <x:c r="L22" s="13" t="n">
        <x:f>'03_Income_Statement'!L12</x:f>
        <x:v>174.86291213795212</x:v>
      </x:c>
      <x:c r="M22" s="3"/>
      <x:c r="N22" s="78"/>
    </x:row>
    <x:row r="23" ht="21" customHeight="1">
      <x:c r="A23" s="6" t="str">
        <x:v>Change in operating working capital</x:v>
      </x:c>
      <x:c r="B23" s="3"/>
      <x:c r="C23" s="5"/>
      <x:c r="D23" s="5"/>
      <x:c r="E23" s="5"/>
      <x:c r="F23" s="5"/>
      <x:c r="G23" s="5"/>
      <x:c r="H23" s="13" t="n">
        <x:f>'06_Schedules'!H18</x:f>
        <x:v>78.50657000000001</x:v>
      </x:c>
      <x:c r="I23" s="13" t="n">
        <x:f>'06_Schedules'!I18</x:f>
        <x:v>80.19597939999983</x:v>
      </x:c>
      <x:c r="J23" s="13" t="n">
        <x:f>'06_Schedules'!J18</x:f>
        <x:v>83.67903866800009</x:v>
      </x:c>
      <x:c r="K23" s="13" t="n">
        <x:f>'06_Schedules'!K18</x:f>
        <x:v>86.54161259735986</x:v>
      </x:c>
      <x:c r="L23" s="13" t="n">
        <x:f>'06_Schedules'!L18</x:f>
        <x:v>88.87557716771528</x:v>
      </x:c>
      <x:c r="M23" s="3"/>
      <x:c r="N23" s="78"/>
    </x:row>
    <x:row r="24" ht="21" customHeight="1">
      <x:c r="A24" s="6" t="str">
        <x:v>Cash capex</x:v>
      </x:c>
      <x:c r="B24" s="3"/>
      <x:c r="C24" s="5"/>
      <x:c r="D24" s="5"/>
      <x:c r="E24" s="5"/>
      <x:c r="F24" s="5"/>
      <x:c r="G24" s="5"/>
      <x:c r="H24" s="13" t="n">
        <x:f>'06_Schedules'!H23</x:f>
        <x:v>350</x:v>
      </x:c>
      <x:c r="I24" s="13" t="n">
        <x:f>'06_Schedules'!I23</x:f>
        <x:v>350</x:v>
      </x:c>
      <x:c r="J24" s="13" t="n">
        <x:f>'06_Schedules'!J23</x:f>
        <x:v>280.44192692</x:v>
      </x:c>
      <x:c r="K24" s="13" t="n">
        <x:f>'06_Schedules'!K23</x:f>
        <x:v>310.2838622984</x:v>
      </x:c>
      <x:c r="L24" s="13" t="n">
        <x:f>'06_Schedules'!L23</x:f>
        <x:v>340.93061304588804</x:v>
      </x:c>
      <x:c r="M24" s="3"/>
      <x:c r="N24" s="78"/>
    </x:row>
    <x:row r="25" ht="21" customHeight="1">
      <x:c r="A25" s="6" t="str">
        <x:v>New borrowings</x:v>
      </x:c>
      <x:c r="B25" s="3"/>
      <x:c r="C25" s="5"/>
      <x:c r="D25" s="5"/>
      <x:c r="E25" s="5"/>
      <x:c r="F25" s="5"/>
      <x:c r="G25" s="5"/>
      <x:c r="H25" s="13" t="n">
        <x:f>'06_Schedules'!H58</x:f>
        <x:v>60.65815363697594</x:v>
      </x:c>
      <x:c r="I25" s="13" t="n">
        <x:f>'06_Schedules'!I58</x:f>
        <x:v>50.4245407317066</x:v>
      </x:c>
      <x:c r="J25" s="13" t="n">
        <x:f>'06_Schedules'!J58</x:f>
        <x:v>0</x:v>
      </x:c>
      <x:c r="K25" s="13" t="n">
        <x:f>'06_Schedules'!K58</x:f>
        <x:v>0</x:v>
      </x:c>
      <x:c r="L25" s="13" t="n">
        <x:f>'06_Schedules'!L58</x:f>
        <x:v>0</x:v>
      </x:c>
      <x:c r="M25" s="3"/>
      <x:c r="N25" s="78"/>
    </x:row>
    <x:row r="26" ht="21" customHeight="1">
      <x:c r="A26" s="6" t="str">
        <x:v>Scheduled and surplus debt repayments</x:v>
      </x:c>
      <x:c r="B26" s="3"/>
      <x:c r="C26" s="5"/>
      <x:c r="D26" s="5"/>
      <x:c r="E26" s="5"/>
      <x:c r="F26" s="5"/>
      <x:c r="G26" s="5"/>
      <x:c r="H26" s="13" t="n">
        <x:f>'06_Schedules'!H51+'06_Schedules'!H59</x:f>
        <x:v>20</x:v>
      </x:c>
      <x:c r="I26" s="13" t="n">
        <x:f>'06_Schedules'!I51+'06_Schedules'!I59</x:f>
        <x:v>20</x:v>
      </x:c>
      <x:c r="J26" s="13" t="n">
        <x:f>'06_Schedules'!J51+'06_Schedules'!J59</x:f>
        <x:v>88.76039165920577</x:v>
      </x:c>
      <x:c r="K26" s="13" t="n">
        <x:f>'06_Schedules'!K51+'06_Schedules'!K59</x:f>
        <x:v>117.7395587403948</x:v>
      </x:c>
      <x:c r="L26" s="13" t="n">
        <x:f>'06_Schedules'!L51+'06_Schedules'!L59</x:f>
        <x:v>147.5548844385255</x:v>
      </x:c>
      <x:c r="M26" s="3"/>
      <x:c r="N26" s="78"/>
    </x:row>
    <x:row r="27" ht="21" customHeight="1">
      <x:c r="A27" s="6" t="str">
        <x:v>Lease principal repayments</x:v>
      </x:c>
      <x:c r="B27" s="3"/>
      <x:c r="C27" s="5"/>
      <x:c r="D27" s="5"/>
      <x:c r="E27" s="5"/>
      <x:c r="F27" s="5"/>
      <x:c r="G27" s="5"/>
      <x:c r="H27" s="13" t="n">
        <x:f>'06_Schedules'!H43</x:f>
        <x:v>7</x:v>
      </x:c>
      <x:c r="I27" s="13" t="n">
        <x:f>'06_Schedules'!I43</x:f>
        <x:v>7</x:v>
      </x:c>
      <x:c r="J27" s="13" t="n">
        <x:f>'06_Schedules'!J43</x:f>
        <x:v>7</x:v>
      </x:c>
      <x:c r="K27" s="13" t="n">
        <x:f>'06_Schedules'!K43</x:f>
        <x:v>7</x:v>
      </x:c>
      <x:c r="L27" s="13" t="n">
        <x:f>'06_Schedules'!L43</x:f>
        <x:v>7</x:v>
      </x:c>
      <x:c r="M27" s="3"/>
      <x:c r="N27" s="78"/>
    </x:row>
    <x:row r="28" ht="21" customHeight="1">
      <x:c r="A28" s="6" t="str">
        <x:v>Cash dividends</x:v>
      </x:c>
      <x:c r="B28" s="3"/>
      <x:c r="C28" s="5"/>
      <x:c r="D28" s="5"/>
      <x:c r="E28" s="5"/>
      <x:c r="F28" s="5"/>
      <x:c r="G28" s="5"/>
      <x:c r="H28" s="13" t="n">
        <x:f>'06_Schedules'!H53</x:f>
        <x:v>27.25975404033601</x:v>
      </x:c>
      <x:c r="I28" s="13" t="n">
        <x:f>'06_Schedules'!I53</x:f>
        <x:v>30.776101507588137</x:v>
      </x:c>
      <x:c r="J28" s="13" t="n">
        <x:f>'06_Schedules'!J53</x:f>
        <x:v>34.935983311231766</x:v>
      </x:c>
      <x:c r="K28" s="13" t="n">
        <x:f>'06_Schedules'!K53</x:f>
        <x:v>40.34252453151812</x:v>
      </x:c>
      <x:c r="L28" s="13" t="n">
        <x:f>'06_Schedules'!L53</x:f>
        <x:v>46.86187364590799</x:v>
      </x:c>
      <x:c r="M28" s="3"/>
      <x:c r="N28" s="78"/>
    </x:row>
    <x:row r="29" ht="21" customHeight="1">
      <x:c r="A29" s="6" t="str">
        <x:v>Interest and finance costs paid</x:v>
      </x:c>
      <x:c r="B29" s="3"/>
      <x:c r="C29" s="5"/>
      <x:c r="D29" s="5"/>
      <x:c r="E29" s="5"/>
      <x:c r="F29" s="5"/>
      <x:c r="G29" s="5"/>
      <x:c r="H29" s="13" t="n">
        <x:f>'03_Income_Statement'!H13</x:f>
        <x:v>31.822599999999998</x:v>
      </x:c>
      <x:c r="I29" s="13" t="n">
        <x:f>'03_Income_Statement'!I13</x:f>
        <x:v>35.33854305914295</x:v>
      </x:c>
      <x:c r="J29" s="13" t="n">
        <x:f>'03_Income_Statement'!J13</x:f>
        <x:v>37.984629021338016</x:v>
      </x:c>
      <x:c r="K29" s="13" t="n">
        <x:f>'03_Income_Statement'!K13</x:f>
        <x:v>30.499995730305525</x:v>
      </x:c>
      <x:c r="L29" s="13" t="n">
        <x:f>'03_Income_Statement'!L13</x:f>
        <x:v>20.55213323737197</x:v>
      </x:c>
      <x:c r="M29" s="3"/>
      <x:c r="N29" s="78"/>
    </x:row>
    <x:row r="30" ht="21" customHeight="1">
      <x:c r="A30" s="6" t="str">
        <x:v>Interest income received</x:v>
      </x:c>
      <x:c r="B30" s="3"/>
      <x:c r="C30" s="5"/>
      <x:c r="D30" s="5"/>
      <x:c r="E30" s="5"/>
      <x:c r="F30" s="5"/>
      <x:c r="G30" s="5"/>
      <x:c r="H30" s="13" t="n">
        <x:f>'03_Income_Statement'!H9*'02_Assumptions'!H91</x:f>
        <x:v>3.2128718928262754</x:v>
      </x:c>
      <x:c r="I30" s="13" t="n">
        <x:f>'03_Income_Statement'!I9*'02_Assumptions'!I91</x:f>
        <x:v>3.6096332131374242</x:v>
      </x:c>
      <x:c r="J30" s="13" t="n">
        <x:f>'03_Income_Statement'!J9*'02_Assumptions'!J91</x:f>
        <x:v>4.023626609223855</x:v>
      </x:c>
      <x:c r="K30" s="13" t="n">
        <x:f>'03_Income_Statement'!K9*'02_Assumptions'!K91</x:f>
        <x:v>4.451782293996058</x:v>
      </x:c>
      <x:c r="L30" s="13" t="n">
        <x:f>'03_Income_Statement'!L9*'02_Assumptions'!L91</x:f>
        <x:v>4.8914850272789465</x:v>
      </x:c>
      <x:c r="M30" s="3"/>
      <x:c r="N30" s="78"/>
    </x:row>
    <x:row r="31" ht="21" customHeight="1">
      <x:c r="A31" s="3"/>
      <x:c r="B31" s="3"/>
      <x:c r="C31" s="5"/>
      <x:c r="D31" s="5"/>
      <x:c r="E31" s="5"/>
      <x:c r="F31" s="5"/>
      <x:c r="G31" s="5"/>
      <x:c r="H31" s="5"/>
      <x:c r="I31" s="5"/>
      <x:c r="J31" s="5"/>
      <x:c r="K31" s="5"/>
      <x:c r="L31" s="5"/>
      <x:c r="M31" s="3"/>
      <x:c r="N31" s="78"/>
    </x:row>
    <x:row r="32" ht="21" customHeight="1">
      <x:c r="A32" s="3"/>
      <x:c r="B32" s="3"/>
      <x:c r="C32" s="5"/>
      <x:c r="D32" s="5"/>
      <x:c r="E32" s="5"/>
      <x:c r="F32" s="5"/>
      <x:c r="G32" s="5"/>
      <x:c r="H32" s="5"/>
      <x:c r="I32" s="5"/>
      <x:c r="J32" s="5"/>
      <x:c r="K32" s="5"/>
      <x:c r="L32" s="5"/>
      <x:c r="M32" s="3"/>
      <x:c r="N32" s="78"/>
    </x:row>
    <x:row r="33" ht="21" customHeight="1">
      <x:c r="A33" s="3"/>
      <x:c r="B33" s="3"/>
      <x:c r="C33" s="5"/>
      <x:c r="D33" s="5"/>
      <x:c r="E33" s="5"/>
      <x:c r="F33" s="5"/>
      <x:c r="G33" s="5"/>
      <x:c r="H33" s="5"/>
      <x:c r="I33" s="5"/>
      <x:c r="J33" s="5"/>
      <x:c r="K33" s="5"/>
      <x:c r="L33" s="5"/>
      <x:c r="M33" s="3"/>
      <x:c r="N33" s="78"/>
    </x:row>
    <x:row r="34" ht="21" customHeight="1">
      <x:c r="A34" s="3"/>
      <x:c r="B34" s="3"/>
      <x:c r="C34" s="5"/>
      <x:c r="D34" s="5"/>
      <x:c r="E34" s="5"/>
      <x:c r="F34" s="5"/>
      <x:c r="G34" s="5"/>
      <x:c r="H34" s="5"/>
      <x:c r="I34" s="5"/>
      <x:c r="J34" s="5"/>
      <x:c r="K34" s="5"/>
      <x:c r="L34" s="5"/>
      <x:c r="M34" s="3"/>
      <x:c r="N34" s="78"/>
    </x:row>
    <x:row r="35" ht="21" customHeight="1">
      <x:c r="A35" s="3"/>
      <x:c r="B35" s="3"/>
      <x:c r="C35" s="5"/>
      <x:c r="D35" s="5"/>
      <x:c r="E35" s="5"/>
      <x:c r="F35" s="5"/>
      <x:c r="G35" s="5"/>
      <x:c r="H35" s="5"/>
      <x:c r="I35" s="5"/>
      <x:c r="J35" s="5"/>
      <x:c r="K35" s="5"/>
      <x:c r="L35" s="5"/>
      <x:c r="M35" s="3"/>
      <x:c r="N35" s="78"/>
    </x:row>
    <x:row r="36" ht="21" customHeight="1">
      <x:c r="A36" s="3"/>
      <x:c r="B36" s="3"/>
      <x:c r="C36" s="5"/>
      <x:c r="D36" s="5"/>
      <x:c r="E36" s="5"/>
      <x:c r="F36" s="5"/>
      <x:c r="G36" s="5"/>
      <x:c r="H36" s="5"/>
      <x:c r="I36" s="5"/>
      <x:c r="J36" s="5"/>
      <x:c r="K36" s="5"/>
      <x:c r="L36" s="5"/>
      <x:c r="M36" s="3"/>
      <x:c r="N36" s="78"/>
    </x:row>
    <x:row r="37" ht="21" customHeight="1">
      <x:c r="A37" s="3"/>
      <x:c r="B37" s="3"/>
      <x:c r="C37" s="5"/>
      <x:c r="D37" s="5"/>
      <x:c r="E37" s="5"/>
      <x:c r="F37" s="5"/>
      <x:c r="G37" s="5"/>
      <x:c r="H37" s="5"/>
      <x:c r="I37" s="5"/>
      <x:c r="J37" s="5"/>
      <x:c r="K37" s="5"/>
      <x:c r="L37" s="5"/>
      <x:c r="M37" s="3"/>
      <x:c r="N37" s="78"/>
    </x:row>
    <x:row r="38" ht="21" customHeight="1">
      <x:c r="A38" s="3"/>
      <x:c r="B38" s="3"/>
      <x:c r="C38" s="5"/>
      <x:c r="D38" s="5"/>
      <x:c r="E38" s="5"/>
      <x:c r="F38" s="5"/>
      <x:c r="G38" s="5"/>
      <x:c r="H38" s="5"/>
      <x:c r="I38" s="5"/>
      <x:c r="J38" s="5"/>
      <x:c r="K38" s="5"/>
      <x:c r="L38" s="5"/>
      <x:c r="M38" s="3"/>
      <x:c r="N38" s="78"/>
    </x:row>
    <x:row r="39" ht="21" customHeight="1">
      <x:c r="A39" s="3"/>
      <x:c r="B39" s="3"/>
      <x:c r="C39" s="5"/>
      <x:c r="D39" s="5"/>
      <x:c r="E39" s="5"/>
      <x:c r="F39" s="5"/>
      <x:c r="G39" s="5"/>
      <x:c r="H39" s="5"/>
      <x:c r="I39" s="5"/>
      <x:c r="J39" s="5"/>
      <x:c r="K39" s="5"/>
      <x:c r="L39" s="5"/>
      <x:c r="M39" s="3"/>
      <x:c r="N39" s="78"/>
    </x:row>
    <x:row r="40" ht="21" customHeight="1">
      <x:c r="A40" s="3"/>
      <x:c r="B40" s="3"/>
      <x:c r="C40" s="5"/>
      <x:c r="D40" s="5"/>
      <x:c r="E40" s="5"/>
      <x:c r="F40" s="5"/>
      <x:c r="G40" s="5"/>
      <x:c r="H40" s="5"/>
      <x:c r="I40" s="5"/>
      <x:c r="J40" s="5"/>
      <x:c r="K40" s="5"/>
      <x:c r="L40" s="5"/>
      <x:c r="M40" s="3"/>
      <x:c r="N40" s="78"/>
    </x:row>
    <x:row r="41" ht="21" customHeight="1">
      <x:c r="A41" s="3"/>
      <x:c r="B41" s="3"/>
      <x:c r="C41" s="5"/>
      <x:c r="D41" s="5"/>
      <x:c r="E41" s="5"/>
      <x:c r="F41" s="5"/>
      <x:c r="G41" s="5"/>
      <x:c r="H41" s="5"/>
      <x:c r="I41" s="5"/>
      <x:c r="J41" s="5"/>
      <x:c r="K41" s="5"/>
      <x:c r="L41" s="5"/>
      <x:c r="M41" s="3"/>
      <x:c r="N41" s="78"/>
    </x:row>
    <x:row r="42" ht="21" customHeight="1">
      <x:c r="A42" s="3"/>
      <x:c r="B42" s="3"/>
      <x:c r="C42" s="5"/>
      <x:c r="D42" s="5"/>
      <x:c r="E42" s="5"/>
      <x:c r="F42" s="5"/>
      <x:c r="G42" s="5"/>
      <x:c r="H42" s="5"/>
      <x:c r="I42" s="5"/>
      <x:c r="J42" s="5"/>
      <x:c r="K42" s="5"/>
      <x:c r="L42" s="5"/>
      <x:c r="M42" s="3"/>
      <x:c r="N42" s="78"/>
    </x:row>
    <x:row r="43" ht="21" customHeight="1">
      <x:c r="A43" s="3"/>
      <x:c r="B43" s="3"/>
      <x:c r="C43" s="5"/>
      <x:c r="D43" s="5"/>
      <x:c r="E43" s="5"/>
      <x:c r="F43" s="5"/>
      <x:c r="G43" s="5"/>
      <x:c r="H43" s="5"/>
      <x:c r="I43" s="5"/>
      <x:c r="J43" s="5"/>
      <x:c r="K43" s="5"/>
      <x:c r="L43" s="5"/>
      <x:c r="M43" s="3"/>
      <x:c r="N43" s="78"/>
    </x:row>
    <x:row r="44" ht="21" customHeight="1">
      <x:c r="A44" s="3"/>
      <x:c r="B44" s="3"/>
      <x:c r="C44" s="5"/>
      <x:c r="D44" s="5"/>
      <x:c r="E44" s="5"/>
      <x:c r="F44" s="5"/>
      <x:c r="G44" s="5"/>
      <x:c r="H44" s="5"/>
      <x:c r="I44" s="5"/>
      <x:c r="J44" s="5"/>
      <x:c r="K44" s="5"/>
      <x:c r="L44" s="5"/>
      <x:c r="M44" s="3"/>
      <x:c r="N44" s="78"/>
    </x:row>
    <x:row r="45" ht="21" customHeight="1">
      <x:c r="A45" s="3"/>
      <x:c r="B45" s="3"/>
      <x:c r="C45" s="5"/>
      <x:c r="D45" s="5"/>
      <x:c r="E45" s="5"/>
      <x:c r="F45" s="5"/>
      <x:c r="G45" s="5"/>
      <x:c r="H45" s="5"/>
      <x:c r="I45" s="5"/>
      <x:c r="J45" s="5"/>
      <x:c r="K45" s="5"/>
      <x:c r="L45" s="5"/>
      <x:c r="M45" s="3"/>
      <x:c r="N45" s="78"/>
    </x:row>
    <x:row r="46" ht="21" customHeight="1">
      <x:c r="A46" s="3"/>
      <x:c r="B46" s="3"/>
      <x:c r="C46" s="5"/>
      <x:c r="D46" s="5"/>
      <x:c r="E46" s="5"/>
      <x:c r="F46" s="5"/>
      <x:c r="G46" s="5"/>
      <x:c r="H46" s="5"/>
      <x:c r="I46" s="5"/>
      <x:c r="J46" s="5"/>
      <x:c r="K46" s="5"/>
      <x:c r="L46" s="5"/>
      <x:c r="M46" s="3"/>
      <x:c r="N46" s="78"/>
    </x:row>
    <x:row r="47" ht="21" customHeight="1">
      <x:c r="A47" s="3"/>
      <x:c r="B47" s="3"/>
      <x:c r="C47" s="5"/>
      <x:c r="D47" s="5"/>
      <x:c r="E47" s="5"/>
      <x:c r="F47" s="5"/>
      <x:c r="G47" s="5"/>
      <x:c r="H47" s="5"/>
      <x:c r="I47" s="5"/>
      <x:c r="J47" s="5"/>
      <x:c r="K47" s="5"/>
      <x:c r="L47" s="5"/>
      <x:c r="M47" s="3"/>
      <x:c r="N47" s="78"/>
    </x:row>
    <x:row r="48" ht="21" customHeight="1">
      <x:c r="A48" s="3"/>
      <x:c r="B48" s="3"/>
      <x:c r="C48" s="5"/>
      <x:c r="D48" s="5"/>
      <x:c r="E48" s="5"/>
      <x:c r="F48" s="5"/>
      <x:c r="G48" s="5"/>
      <x:c r="H48" s="5"/>
      <x:c r="I48" s="5"/>
      <x:c r="J48" s="5"/>
      <x:c r="K48" s="5"/>
      <x:c r="L48" s="5"/>
      <x:c r="M48" s="3"/>
      <x:c r="N48" s="78"/>
    </x:row>
    <x:row r="49" ht="21" customHeight="1">
      <x:c r="A49" s="3"/>
      <x:c r="B49" s="3"/>
      <x:c r="C49" s="5"/>
      <x:c r="D49" s="5"/>
      <x:c r="E49" s="5"/>
      <x:c r="F49" s="5"/>
      <x:c r="G49" s="5"/>
      <x:c r="H49" s="5"/>
      <x:c r="I49" s="5"/>
      <x:c r="J49" s="5"/>
      <x:c r="K49" s="5"/>
      <x:c r="L49" s="5"/>
      <x:c r="M49" s="3"/>
      <x:c r="N49" s="78"/>
    </x:row>
    <x:row r="50" ht="21" customHeight="1">
      <x:c r="A50" s="3"/>
      <x:c r="B50" s="3"/>
      <x:c r="C50" s="5"/>
      <x:c r="D50" s="5"/>
      <x:c r="E50" s="5"/>
      <x:c r="F50" s="5"/>
      <x:c r="G50" s="5"/>
      <x:c r="H50" s="5"/>
      <x:c r="I50" s="5"/>
      <x:c r="J50" s="5"/>
      <x:c r="K50" s="5"/>
      <x:c r="L50" s="5"/>
      <x:c r="M50" s="3"/>
      <x:c r="N50" s="78"/>
    </x:row>
    <x:row r="51" ht="21" customHeight="1">
      <x:c r="A51" s="3"/>
      <x:c r="B51" s="3"/>
      <x:c r="C51" s="5"/>
      <x:c r="D51" s="5"/>
      <x:c r="E51" s="5"/>
      <x:c r="F51" s="5"/>
      <x:c r="G51" s="5"/>
      <x:c r="H51" s="5"/>
      <x:c r="I51" s="5"/>
      <x:c r="J51" s="5"/>
      <x:c r="K51" s="5"/>
      <x:c r="L51" s="5"/>
      <x:c r="M51" s="3"/>
      <x:c r="N51" s="78"/>
    </x:row>
    <x:row r="52" ht="21" customHeight="1">
      <x:c r="A52" s="3"/>
      <x:c r="B52" s="3"/>
      <x:c r="C52" s="5"/>
      <x:c r="D52" s="5"/>
      <x:c r="E52" s="5"/>
      <x:c r="F52" s="5"/>
      <x:c r="G52" s="5"/>
      <x:c r="H52" s="5"/>
      <x:c r="I52" s="5"/>
      <x:c r="J52" s="5"/>
      <x:c r="K52" s="5"/>
      <x:c r="L52" s="5"/>
      <x:c r="M52" s="3"/>
      <x:c r="N52" s="78"/>
    </x:row>
    <x:row r="53" ht="21" customHeight="1">
      <x:c r="A53" s="3"/>
      <x:c r="B53" s="3"/>
      <x:c r="C53" s="5"/>
      <x:c r="D53" s="5"/>
      <x:c r="E53" s="5"/>
      <x:c r="F53" s="5"/>
      <x:c r="G53" s="5"/>
      <x:c r="H53" s="5"/>
      <x:c r="I53" s="5"/>
      <x:c r="J53" s="5"/>
      <x:c r="K53" s="5"/>
      <x:c r="L53" s="5"/>
      <x:c r="M53" s="3"/>
      <x:c r="N53" s="78"/>
    </x:row>
    <x:row r="54" ht="21" customHeight="1">
      <x:c r="A54" s="3"/>
      <x:c r="B54" s="3"/>
      <x:c r="C54" s="5"/>
      <x:c r="D54" s="5"/>
      <x:c r="E54" s="5"/>
      <x:c r="F54" s="5"/>
      <x:c r="G54" s="5"/>
      <x:c r="H54" s="5"/>
      <x:c r="I54" s="5"/>
      <x:c r="J54" s="5"/>
      <x:c r="K54" s="5"/>
      <x:c r="L54" s="5"/>
      <x:c r="M54" s="3"/>
      <x:c r="N54" s="78"/>
    </x:row>
    <x:row r="55" ht="21" customHeight="1">
      <x:c r="A55" s="3"/>
      <x:c r="B55" s="3"/>
      <x:c r="C55" s="5"/>
      <x:c r="D55" s="5"/>
      <x:c r="E55" s="5"/>
      <x:c r="F55" s="5"/>
      <x:c r="G55" s="5"/>
      <x:c r="H55" s="5"/>
      <x:c r="I55" s="5"/>
      <x:c r="J55" s="5"/>
      <x:c r="K55" s="5"/>
      <x:c r="L55" s="5"/>
      <x:c r="M55" s="3"/>
      <x:c r="N55" s="78"/>
    </x:row>
    <x:row r="56" ht="21" customHeight="1">
      <x:c r="A56" s="3"/>
      <x:c r="B56" s="3"/>
      <x:c r="C56" s="5"/>
      <x:c r="D56" s="5"/>
      <x:c r="E56" s="5"/>
      <x:c r="F56" s="5"/>
      <x:c r="G56" s="5"/>
      <x:c r="H56" s="5"/>
      <x:c r="I56" s="5"/>
      <x:c r="J56" s="5"/>
      <x:c r="K56" s="5"/>
      <x:c r="L56" s="5"/>
      <x:c r="M56" s="3"/>
      <x:c r="N56" s="78"/>
    </x:row>
    <x:row r="57" ht="21" customHeight="1">
      <x:c r="A57" s="3"/>
      <x:c r="B57" s="3"/>
      <x:c r="C57" s="5"/>
      <x:c r="D57" s="5"/>
      <x:c r="E57" s="5"/>
      <x:c r="F57" s="5"/>
      <x:c r="G57" s="5"/>
      <x:c r="H57" s="5"/>
      <x:c r="I57" s="5"/>
      <x:c r="J57" s="5"/>
      <x:c r="K57" s="5"/>
      <x:c r="L57" s="5"/>
      <x:c r="M57" s="3"/>
      <x:c r="N57" s="78"/>
    </x:row>
    <x:row r="58" ht="21" customHeight="1">
      <x:c r="A58" s="3"/>
      <x:c r="B58" s="3"/>
      <x:c r="C58" s="5"/>
      <x:c r="D58" s="5"/>
      <x:c r="E58" s="5"/>
      <x:c r="F58" s="5"/>
      <x:c r="G58" s="5"/>
      <x:c r="H58" s="5"/>
      <x:c r="I58" s="5"/>
      <x:c r="J58" s="5"/>
      <x:c r="K58" s="5"/>
      <x:c r="L58" s="5"/>
      <x:c r="M58" s="3"/>
      <x:c r="N58" s="78"/>
    </x:row>
    <x:row r="59" ht="21" customHeight="1">
      <x:c r="A59" s="3"/>
      <x:c r="B59" s="3"/>
      <x:c r="C59" s="5"/>
      <x:c r="D59" s="5"/>
      <x:c r="E59" s="5"/>
      <x:c r="F59" s="5"/>
      <x:c r="G59" s="5"/>
      <x:c r="H59" s="5"/>
      <x:c r="I59" s="5"/>
      <x:c r="J59" s="5"/>
      <x:c r="K59" s="5"/>
      <x:c r="L59" s="5"/>
      <x:c r="M59" s="3"/>
      <x:c r="N59" s="78"/>
    </x:row>
    <x:row r="60" ht="21" customHeight="1">
      <x:c r="A60" s="3"/>
      <x:c r="B60" s="3"/>
      <x:c r="C60" s="5"/>
      <x:c r="D60" s="5"/>
      <x:c r="E60" s="5"/>
      <x:c r="F60" s="5"/>
      <x:c r="G60" s="5"/>
      <x:c r="H60" s="5"/>
      <x:c r="I60" s="5"/>
      <x:c r="J60" s="5"/>
      <x:c r="K60" s="5"/>
      <x:c r="L60" s="5"/>
      <x:c r="M60" s="3"/>
      <x:c r="N60" s="78"/>
    </x:row>
    <x:row r="61" ht="21" customHeight="1">
      <x:c r="A61" s="3"/>
      <x:c r="B61" s="3"/>
      <x:c r="C61" s="5"/>
      <x:c r="D61" s="5"/>
      <x:c r="E61" s="5"/>
      <x:c r="F61" s="5"/>
      <x:c r="G61" s="5"/>
      <x:c r="H61" s="5"/>
      <x:c r="I61" s="5"/>
      <x:c r="J61" s="5"/>
      <x:c r="K61" s="5"/>
      <x:c r="L61" s="5"/>
      <x:c r="M61" s="3"/>
      <x:c r="N61" s="78"/>
    </x:row>
    <x:row r="62" ht="21" customHeight="1">
      <x:c r="A62" s="3"/>
      <x:c r="B62" s="3"/>
      <x:c r="C62" s="5"/>
      <x:c r="D62" s="5"/>
      <x:c r="E62" s="5"/>
      <x:c r="F62" s="5"/>
      <x:c r="G62" s="5"/>
      <x:c r="H62" s="5"/>
      <x:c r="I62" s="5"/>
      <x:c r="J62" s="5"/>
      <x:c r="K62" s="5"/>
      <x:c r="L62" s="5"/>
      <x:c r="M62" s="3"/>
      <x:c r="N62" s="78"/>
    </x:row>
    <x:row r="63" ht="21" customHeight="1">
      <x:c r="A63" s="3"/>
      <x:c r="B63" s="3"/>
      <x:c r="C63" s="5"/>
      <x:c r="D63" s="5"/>
      <x:c r="E63" s="5"/>
      <x:c r="F63" s="5"/>
      <x:c r="G63" s="5"/>
      <x:c r="H63" s="5"/>
      <x:c r="I63" s="5"/>
      <x:c r="J63" s="5"/>
      <x:c r="K63" s="5"/>
      <x:c r="L63" s="5"/>
      <x:c r="M63" s="3"/>
      <x:c r="N63" s="78"/>
    </x:row>
    <x:row r="64" ht="21" customHeight="1">
      <x:c r="A64" s="3"/>
      <x:c r="B64" s="3"/>
      <x:c r="C64" s="5"/>
      <x:c r="D64" s="5"/>
      <x:c r="E64" s="5"/>
      <x:c r="F64" s="5"/>
      <x:c r="G64" s="5"/>
      <x:c r="H64" s="5"/>
      <x:c r="I64" s="5"/>
      <x:c r="J64" s="5"/>
      <x:c r="K64" s="5"/>
      <x:c r="L64" s="5"/>
      <x:c r="M64" s="3"/>
      <x:c r="N64" s="78"/>
    </x:row>
    <x:row r="65" ht="21" customHeight="1">
      <x:c r="A65" s="3"/>
      <x:c r="B65" s="3"/>
      <x:c r="C65" s="5"/>
      <x:c r="D65" s="5"/>
      <x:c r="E65" s="5"/>
      <x:c r="F65" s="5"/>
      <x:c r="G65" s="5"/>
      <x:c r="H65" s="5"/>
      <x:c r="I65" s="5"/>
      <x:c r="J65" s="5"/>
      <x:c r="K65" s="5"/>
      <x:c r="L65" s="5"/>
      <x:c r="M65" s="3"/>
      <x:c r="N65" s="78"/>
    </x:row>
    <x:row r="66" ht="21" customHeight="1">
      <x:c r="A66" s="3"/>
      <x:c r="B66" s="3"/>
      <x:c r="C66" s="5"/>
      <x:c r="D66" s="5"/>
      <x:c r="E66" s="5"/>
      <x:c r="F66" s="5"/>
      <x:c r="G66" s="5"/>
      <x:c r="H66" s="5"/>
      <x:c r="I66" s="5"/>
      <x:c r="J66" s="5"/>
      <x:c r="K66" s="5"/>
      <x:c r="L66" s="5"/>
      <x:c r="M66" s="3"/>
      <x:c r="N66" s="78"/>
    </x:row>
    <x:row r="67" ht="21" customHeight="1">
      <x:c r="A67" s="3"/>
      <x:c r="B67" s="3"/>
      <x:c r="C67" s="5"/>
      <x:c r="D67" s="5"/>
      <x:c r="E67" s="5"/>
      <x:c r="F67" s="5"/>
      <x:c r="G67" s="5"/>
      <x:c r="H67" s="5"/>
      <x:c r="I67" s="5"/>
      <x:c r="J67" s="5"/>
      <x:c r="K67" s="5"/>
      <x:c r="L67" s="5"/>
      <x:c r="M67" s="3"/>
      <x:c r="N67" s="78"/>
    </x:row>
    <x:row r="68" ht="21" customHeight="1">
      <x:c r="A68" s="3"/>
      <x:c r="B68" s="3"/>
      <x:c r="C68" s="5"/>
      <x:c r="D68" s="5"/>
      <x:c r="E68" s="5"/>
      <x:c r="F68" s="5"/>
      <x:c r="G68" s="5"/>
      <x:c r="H68" s="5"/>
      <x:c r="I68" s="5"/>
      <x:c r="J68" s="5"/>
      <x:c r="K68" s="5"/>
      <x:c r="L68" s="5"/>
      <x:c r="M68" s="3"/>
      <x:c r="N68" s="78"/>
    </x:row>
    <x:row r="69" ht="21" customHeight="1">
      <x:c r="A69" s="3"/>
      <x:c r="B69" s="3"/>
      <x:c r="C69" s="5"/>
      <x:c r="D69" s="5"/>
      <x:c r="E69" s="5"/>
      <x:c r="F69" s="5"/>
      <x:c r="G69" s="5"/>
      <x:c r="H69" s="5"/>
      <x:c r="I69" s="5"/>
      <x:c r="J69" s="5"/>
      <x:c r="K69" s="5"/>
      <x:c r="L69" s="5"/>
      <x:c r="M69" s="3"/>
      <x:c r="N69" s="78"/>
    </x:row>
    <x:row r="70" ht="21" customHeight="1">
      <x:c r="A70" s="3"/>
      <x:c r="B70" s="3"/>
      <x:c r="C70" s="5"/>
      <x:c r="D70" s="5"/>
      <x:c r="E70" s="5"/>
      <x:c r="F70" s="5"/>
      <x:c r="G70" s="5"/>
      <x:c r="H70" s="5"/>
      <x:c r="I70" s="5"/>
      <x:c r="J70" s="5"/>
      <x:c r="K70" s="5"/>
      <x:c r="L70" s="5"/>
      <x:c r="M70" s="3"/>
      <x:c r="N70" s="78"/>
    </x:row>
    <x:row r="71" ht="21" customHeight="1">
      <x:c r="A71" s="3"/>
      <x:c r="B71" s="3"/>
      <x:c r="C71" s="5"/>
      <x:c r="D71" s="5"/>
      <x:c r="E71" s="5"/>
      <x:c r="F71" s="5"/>
      <x:c r="G71" s="5"/>
      <x:c r="H71" s="5"/>
      <x:c r="I71" s="5"/>
      <x:c r="J71" s="5"/>
      <x:c r="K71" s="5"/>
      <x:c r="L71" s="5"/>
      <x:c r="M71" s="3"/>
      <x:c r="N71" s="78"/>
    </x:row>
    <x:row r="72" ht="21" customHeight="1">
      <x:c r="A72" s="3"/>
      <x:c r="B72" s="3"/>
      <x:c r="C72" s="5"/>
      <x:c r="D72" s="5"/>
      <x:c r="E72" s="5"/>
      <x:c r="F72" s="5"/>
      <x:c r="G72" s="5"/>
      <x:c r="H72" s="5"/>
      <x:c r="I72" s="5"/>
      <x:c r="J72" s="5"/>
      <x:c r="K72" s="5"/>
      <x:c r="L72" s="5"/>
      <x:c r="M72" s="3"/>
      <x:c r="N72" s="78"/>
    </x:row>
    <x:row r="73" ht="21" customHeight="1">
      <x:c r="A73" s="3"/>
      <x:c r="B73" s="3"/>
      <x:c r="C73" s="5"/>
      <x:c r="D73" s="5"/>
      <x:c r="E73" s="5"/>
      <x:c r="F73" s="5"/>
      <x:c r="G73" s="5"/>
      <x:c r="H73" s="5"/>
      <x:c r="I73" s="5"/>
      <x:c r="J73" s="5"/>
      <x:c r="K73" s="5"/>
      <x:c r="L73" s="5"/>
      <x:c r="M73" s="3"/>
      <x:c r="N73" s="78"/>
    </x:row>
    <x:row r="74" ht="21" customHeight="1">
      <x:c r="A74" s="3"/>
      <x:c r="B74" s="3"/>
      <x:c r="C74" s="5"/>
      <x:c r="D74" s="5"/>
      <x:c r="E74" s="5"/>
      <x:c r="F74" s="5"/>
      <x:c r="G74" s="5"/>
      <x:c r="H74" s="5"/>
      <x:c r="I74" s="5"/>
      <x:c r="J74" s="5"/>
      <x:c r="K74" s="5"/>
      <x:c r="L74" s="5"/>
      <x:c r="M74" s="3"/>
      <x:c r="N74" s="78"/>
    </x:row>
    <x:row r="75" ht="21" customHeight="1">
      <x:c r="A75" s="3"/>
      <x:c r="B75" s="3"/>
      <x:c r="C75" s="5"/>
      <x:c r="D75" s="5"/>
      <x:c r="E75" s="5"/>
      <x:c r="F75" s="5"/>
      <x:c r="G75" s="5"/>
      <x:c r="H75" s="5"/>
      <x:c r="I75" s="5"/>
      <x:c r="J75" s="5"/>
      <x:c r="K75" s="5"/>
      <x:c r="L75" s="5"/>
      <x:c r="M75" s="3"/>
      <x:c r="N75" s="78"/>
    </x:row>
    <x:row r="76" ht="21" customHeight="1">
      <x:c r="A76" s="3"/>
      <x:c r="B76" s="3"/>
      <x:c r="C76" s="5"/>
      <x:c r="D76" s="5"/>
      <x:c r="E76" s="5"/>
      <x:c r="F76" s="5"/>
      <x:c r="G76" s="5"/>
      <x:c r="H76" s="5"/>
      <x:c r="I76" s="5"/>
      <x:c r="J76" s="5"/>
      <x:c r="K76" s="5"/>
      <x:c r="L76" s="5"/>
      <x:c r="M76" s="3"/>
      <x:c r="N76" s="78"/>
    </x:row>
    <x:row r="77" ht="21" customHeight="1">
      <x:c r="A77" s="3"/>
      <x:c r="B77" s="3"/>
      <x:c r="C77" s="5"/>
      <x:c r="D77" s="5"/>
      <x:c r="E77" s="5"/>
      <x:c r="F77" s="5"/>
      <x:c r="G77" s="5"/>
      <x:c r="H77" s="5"/>
      <x:c r="I77" s="5"/>
      <x:c r="J77" s="5"/>
      <x:c r="K77" s="5"/>
      <x:c r="L77" s="5"/>
      <x:c r="M77" s="3"/>
      <x:c r="N77" s="78"/>
    </x:row>
    <x:row r="78" ht="21" customHeight="1">
      <x:c r="A78" s="3"/>
      <x:c r="B78" s="3"/>
      <x:c r="C78" s="5"/>
      <x:c r="D78" s="5"/>
      <x:c r="E78" s="5"/>
      <x:c r="F78" s="5"/>
      <x:c r="G78" s="5"/>
      <x:c r="H78" s="5"/>
      <x:c r="I78" s="5"/>
      <x:c r="J78" s="5"/>
      <x:c r="K78" s="5"/>
      <x:c r="L78" s="5"/>
      <x:c r="M78" s="3"/>
      <x:c r="N78" s="78"/>
    </x:row>
    <x:row r="79" ht="21" customHeight="1">
      <x:c r="A79" s="3"/>
      <x:c r="B79" s="3"/>
      <x:c r="C79" s="5"/>
      <x:c r="D79" s="5"/>
      <x:c r="E79" s="5"/>
      <x:c r="F79" s="5"/>
      <x:c r="G79" s="5"/>
      <x:c r="H79" s="5"/>
      <x:c r="I79" s="5"/>
      <x:c r="J79" s="5"/>
      <x:c r="K79" s="5"/>
      <x:c r="L79" s="5"/>
      <x:c r="M79" s="3"/>
      <x:c r="N79" s="78"/>
    </x:row>
    <x:row r="80" ht="21" customHeight="1">
      <x:c r="A80" s="3"/>
      <x:c r="B80" s="3"/>
      <x:c r="C80" s="5"/>
      <x:c r="D80" s="5"/>
      <x:c r="E80" s="5"/>
      <x:c r="F80" s="5"/>
      <x:c r="G80" s="5"/>
      <x:c r="H80" s="5"/>
      <x:c r="I80" s="5"/>
      <x:c r="J80" s="5"/>
      <x:c r="K80" s="5"/>
      <x:c r="L80" s="5"/>
      <x:c r="M80" s="3"/>
      <x:c r="N80" s="78"/>
    </x:row>
    <x:row r="81" ht="21" customHeight="1">
      <x:c r="A81" s="3"/>
      <x:c r="B81" s="3"/>
      <x:c r="C81" s="5"/>
      <x:c r="D81" s="5"/>
      <x:c r="E81" s="5"/>
      <x:c r="F81" s="5"/>
      <x:c r="G81" s="5"/>
      <x:c r="H81" s="5"/>
      <x:c r="I81" s="5"/>
      <x:c r="J81" s="5"/>
      <x:c r="K81" s="5"/>
      <x:c r="L81" s="5"/>
      <x:c r="M81" s="3"/>
      <x:c r="N81" s="78"/>
    </x:row>
    <x:row r="82" ht="21" customHeight="1">
      <x:c r="A82" s="3"/>
      <x:c r="B82" s="3"/>
      <x:c r="C82" s="5"/>
      <x:c r="D82" s="5"/>
      <x:c r="E82" s="5"/>
      <x:c r="F82" s="5"/>
      <x:c r="G82" s="5"/>
      <x:c r="H82" s="5"/>
      <x:c r="I82" s="5"/>
      <x:c r="J82" s="5"/>
      <x:c r="K82" s="5"/>
      <x:c r="L82" s="5"/>
      <x:c r="M82" s="3"/>
      <x:c r="N82" s="78"/>
    </x:row>
    <x:row r="83" ht="21" customHeight="1">
      <x:c r="A83" s="3"/>
      <x:c r="B83" s="3"/>
      <x:c r="C83" s="5"/>
      <x:c r="D83" s="5"/>
      <x:c r="E83" s="5"/>
      <x:c r="F83" s="5"/>
      <x:c r="G83" s="5"/>
      <x:c r="H83" s="5"/>
      <x:c r="I83" s="5"/>
      <x:c r="J83" s="5"/>
      <x:c r="K83" s="5"/>
      <x:c r="L83" s="5"/>
      <x:c r="M83" s="3"/>
      <x:c r="N83" s="78"/>
    </x:row>
    <x:row r="84" ht="21" customHeight="1">
      <x:c r="A84" s="3"/>
      <x:c r="B84" s="3"/>
      <x:c r="C84" s="5"/>
      <x:c r="D84" s="5"/>
      <x:c r="E84" s="5"/>
      <x:c r="F84" s="5"/>
      <x:c r="G84" s="5"/>
      <x:c r="H84" s="5"/>
      <x:c r="I84" s="5"/>
      <x:c r="J84" s="5"/>
      <x:c r="K84" s="5"/>
      <x:c r="L84" s="5"/>
      <x:c r="M84" s="3"/>
      <x:c r="N84" s="78"/>
    </x:row>
    <x:row r="85" ht="21" customHeight="1">
      <x:c r="A85" s="3"/>
      <x:c r="B85" s="3"/>
      <x:c r="C85" s="5"/>
      <x:c r="D85" s="5"/>
      <x:c r="E85" s="5"/>
      <x:c r="F85" s="5"/>
      <x:c r="G85" s="5"/>
      <x:c r="H85" s="5"/>
      <x:c r="I85" s="5"/>
      <x:c r="J85" s="5"/>
      <x:c r="K85" s="5"/>
      <x:c r="L85" s="5"/>
      <x:c r="M85" s="3"/>
      <x:c r="N85" s="78"/>
    </x:row>
    <x:row r="86" ht="21" customHeight="1">
      <x:c r="A86" s="3"/>
      <x:c r="B86" s="3"/>
      <x:c r="C86" s="5"/>
      <x:c r="D86" s="5"/>
      <x:c r="E86" s="5"/>
      <x:c r="F86" s="5"/>
      <x:c r="G86" s="5"/>
      <x:c r="H86" s="5"/>
      <x:c r="I86" s="5"/>
      <x:c r="J86" s="5"/>
      <x:c r="K86" s="5"/>
      <x:c r="L86" s="5"/>
      <x:c r="M86" s="3"/>
      <x:c r="N86" s="78"/>
    </x:row>
    <x:row r="87" ht="21" customHeight="1">
      <x:c r="A87" s="3"/>
      <x:c r="B87" s="3"/>
      <x:c r="C87" s="5"/>
      <x:c r="D87" s="5"/>
      <x:c r="E87" s="5"/>
      <x:c r="F87" s="5"/>
      <x:c r="G87" s="5"/>
      <x:c r="H87" s="5"/>
      <x:c r="I87" s="5"/>
      <x:c r="J87" s="5"/>
      <x:c r="K87" s="5"/>
      <x:c r="L87" s="5"/>
      <x:c r="M87" s="3"/>
      <x:c r="N87" s="78"/>
    </x:row>
    <x:row r="88" ht="21" customHeight="1">
      <x:c r="A88" s="3"/>
      <x:c r="B88" s="3"/>
      <x:c r="C88" s="5"/>
      <x:c r="D88" s="5"/>
      <x:c r="E88" s="5"/>
      <x:c r="F88" s="5"/>
      <x:c r="G88" s="5"/>
      <x:c r="H88" s="5"/>
      <x:c r="I88" s="5"/>
      <x:c r="J88" s="5"/>
      <x:c r="K88" s="5"/>
      <x:c r="L88" s="5"/>
      <x:c r="M88" s="3"/>
      <x:c r="N88" s="78"/>
    </x:row>
    <x:row r="89" ht="21" customHeight="1">
      <x:c r="A89" s="3"/>
      <x:c r="B89" s="3"/>
      <x:c r="C89" s="5"/>
      <x:c r="D89" s="5"/>
      <x:c r="E89" s="5"/>
      <x:c r="F89" s="5"/>
      <x:c r="G89" s="5"/>
      <x:c r="H89" s="5"/>
      <x:c r="I89" s="5"/>
      <x:c r="J89" s="5"/>
      <x:c r="K89" s="5"/>
      <x:c r="L89" s="5"/>
      <x:c r="M89" s="3"/>
      <x:c r="N89" s="78"/>
    </x:row>
    <x:row r="90" ht="21" customHeight="1">
      <x:c r="A90" s="3"/>
      <x:c r="B90" s="3"/>
      <x:c r="C90" s="5"/>
      <x:c r="D90" s="5"/>
      <x:c r="E90" s="5"/>
      <x:c r="F90" s="5"/>
      <x:c r="G90" s="5"/>
      <x:c r="H90" s="5"/>
      <x:c r="I90" s="5"/>
      <x:c r="J90" s="5"/>
      <x:c r="K90" s="5"/>
      <x:c r="L90" s="5"/>
      <x:c r="M90" s="3"/>
      <x:c r="N90" s="78"/>
    </x:row>
    <x:row r="91" ht="21" customHeight="1">
      <x:c r="A91" s="3"/>
      <x:c r="B91" s="3"/>
      <x:c r="C91" s="5"/>
      <x:c r="D91" s="5"/>
      <x:c r="E91" s="5"/>
      <x:c r="F91" s="5"/>
      <x:c r="G91" s="5"/>
      <x:c r="H91" s="5"/>
      <x:c r="I91" s="5"/>
      <x:c r="J91" s="5"/>
      <x:c r="K91" s="5"/>
      <x:c r="L91" s="5"/>
      <x:c r="M91" s="3"/>
      <x:c r="N91" s="78"/>
    </x:row>
    <x:row r="92" ht="21" customHeight="1">
      <x:c r="A92" s="3"/>
      <x:c r="B92" s="3"/>
      <x:c r="C92" s="5"/>
      <x:c r="D92" s="5"/>
      <x:c r="E92" s="5"/>
      <x:c r="F92" s="5"/>
      <x:c r="G92" s="5"/>
      <x:c r="H92" s="5"/>
      <x:c r="I92" s="5"/>
      <x:c r="J92" s="5"/>
      <x:c r="K92" s="5"/>
      <x:c r="L92" s="5"/>
      <x:c r="M92" s="3"/>
      <x:c r="N92" s="78"/>
    </x:row>
    <x:row r="93" ht="21" customHeight="1">
      <x:c r="A93" s="3"/>
      <x:c r="B93" s="3"/>
      <x:c r="C93" s="5"/>
      <x:c r="D93" s="5"/>
      <x:c r="E93" s="5"/>
      <x:c r="F93" s="5"/>
      <x:c r="G93" s="5"/>
      <x:c r="H93" s="5"/>
      <x:c r="I93" s="5"/>
      <x:c r="J93" s="5"/>
      <x:c r="K93" s="5"/>
      <x:c r="L93" s="5"/>
      <x:c r="M93" s="3"/>
      <x:c r="N93" s="78"/>
    </x:row>
    <x:row r="94" ht="21" customHeight="1">
      <x:c r="A94" s="3"/>
      <x:c r="B94" s="3"/>
      <x:c r="C94" s="5"/>
      <x:c r="D94" s="5"/>
      <x:c r="E94" s="5"/>
      <x:c r="F94" s="5"/>
      <x:c r="G94" s="5"/>
      <x:c r="H94" s="5"/>
      <x:c r="I94" s="5"/>
      <x:c r="J94" s="5"/>
      <x:c r="K94" s="5"/>
      <x:c r="L94" s="5"/>
      <x:c r="M94" s="3"/>
      <x:c r="N94" s="78"/>
    </x:row>
    <x:row r="95" ht="21" customHeight="1">
      <x:c r="A95" s="3"/>
      <x:c r="B95" s="3"/>
      <x:c r="C95" s="5"/>
      <x:c r="D95" s="5"/>
      <x:c r="E95" s="5"/>
      <x:c r="F95" s="5"/>
      <x:c r="G95" s="5"/>
      <x:c r="H95" s="5"/>
      <x:c r="I95" s="5"/>
      <x:c r="J95" s="5"/>
      <x:c r="K95" s="5"/>
      <x:c r="L95" s="5"/>
      <x:c r="M95" s="3"/>
      <x:c r="N95" s="78"/>
    </x:row>
    <x:row r="96" ht="21" customHeight="1">
      <x:c r="A96" s="3"/>
      <x:c r="B96" s="3"/>
      <x:c r="C96" s="5"/>
      <x:c r="D96" s="5"/>
      <x:c r="E96" s="5"/>
      <x:c r="F96" s="5"/>
      <x:c r="G96" s="5"/>
      <x:c r="H96" s="5"/>
      <x:c r="I96" s="5"/>
      <x:c r="J96" s="5"/>
      <x:c r="K96" s="5"/>
      <x:c r="L96" s="5"/>
      <x:c r="M96" s="3"/>
      <x:c r="N96" s="78"/>
    </x:row>
    <x:row r="97" ht="21" customHeight="1">
      <x:c r="A97" s="3"/>
      <x:c r="B97" s="3"/>
      <x:c r="C97" s="5"/>
      <x:c r="D97" s="5"/>
      <x:c r="E97" s="5"/>
      <x:c r="F97" s="5"/>
      <x:c r="G97" s="5"/>
      <x:c r="H97" s="5"/>
      <x:c r="I97" s="5"/>
      <x:c r="J97" s="5"/>
      <x:c r="K97" s="5"/>
      <x:c r="L97" s="5"/>
      <x:c r="M97" s="3"/>
      <x:c r="N97" s="78"/>
    </x:row>
    <x:row r="98" ht="21" customHeight="1">
      <x:c r="A98" s="3"/>
      <x:c r="B98" s="3"/>
      <x:c r="C98" s="5"/>
      <x:c r="D98" s="5"/>
      <x:c r="E98" s="5"/>
      <x:c r="F98" s="5"/>
      <x:c r="G98" s="5"/>
      <x:c r="H98" s="5"/>
      <x:c r="I98" s="5"/>
      <x:c r="J98" s="5"/>
      <x:c r="K98" s="5"/>
      <x:c r="L98" s="5"/>
      <x:c r="M98" s="3"/>
      <x:c r="N98" s="78"/>
    </x:row>
    <x:row r="99" ht="21" customHeight="1">
      <x:c r="A99" s="3"/>
      <x:c r="B99" s="3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3"/>
      <x:c r="N99" s="78"/>
    </x:row>
    <x:row r="100" ht="21" customHeight="1">
      <x:c r="A100" s="3"/>
      <x:c r="B100" s="3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3"/>
      <x:c r="N100" s="7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4" hidden="0" customWidth="1"/>
    <x:col min="2" max="2" width="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3" hidden="0" customWidth="1"/>
    <x:col min="14" max="14" width="58" hidden="0" customWidth="1"/>
  </x:cols>
  <x:sheetData>
    <x:row r="1" ht="21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78"/>
    </x:row>
    <x:row r="2" ht="21" customHeight="1">
      <x:c r="A2" s="8" t="str">
        <x:v>Operating and Financing Schedules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78"/>
    </x:row>
    <x:row r="3" ht="21" customHeight="1">
      <x:c r="A3" s="6" t="str">
        <x:v>Consolidated. ₹ crore except per-share values.</x:v>
      </x:c>
      <x:c r="B3" s="3"/>
      <x:c r="C3" s="3"/>
      <x:c r="D3" s="3"/>
      <x:c r="E3" s="3"/>
      <x:c r="F3" s="3"/>
      <x:c r="G3" s="3"/>
      <x:c r="H3" s="6" t="str">
        <x:v>Selected case</x:v>
      </x:c>
      <x:c r="I3" s="3"/>
      <x:c r="J3" s="14" t="str">
        <x:f>'02_Assumptions'!E3</x:f>
        <x:v>Base</x:v>
      </x:c>
      <x:c r="K3" s="3"/>
      <x:c r="L3" s="3"/>
      <x:c r="M3" s="3"/>
      <x:c r="N3" s="78"/>
    </x:row>
    <x:row r="4" ht="21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78"/>
    </x:row>
    <x:row r="5" ht="24" customHeight="1">
      <x:c r="A5" s="12" t="str">
        <x:v>Line item</x:v>
      </x:c>
      <x:c r="B5" s="12"/>
      <x:c r="C5" s="12" t="str">
        <x:v>FY2022A</x:v>
      </x:c>
      <x:c r="D5" s="12" t="str">
        <x:v>FY2023A</x:v>
      </x:c>
      <x:c r="E5" s="12" t="str">
        <x:v>FY2024A</x:v>
      </x:c>
      <x:c r="F5" s="12" t="str">
        <x:v>FY2025A</x:v>
      </x:c>
      <x:c r="G5" s="12" t="str">
        <x:v>FY2026A</x:v>
      </x:c>
      <x:c r="H5" s="12" t="str">
        <x:v>FY2027E</x:v>
      </x:c>
      <x:c r="I5" s="12" t="str">
        <x:v>FY2028E</x:v>
      </x:c>
      <x:c r="J5" s="12" t="str">
        <x:v>FY2029E</x:v>
      </x:c>
      <x:c r="K5" s="12" t="str">
        <x:v>FY2030E</x:v>
      </x:c>
      <x:c r="L5" s="12" t="str">
        <x:v>FY2031E</x:v>
      </x:c>
      <x:c r="M5" s="3"/>
      <x:c r="N5" s="78"/>
    </x:row>
    <x:row r="6" ht="21" customHeight="1">
      <x:c r="A6" s="3"/>
      <x:c r="B6" s="3"/>
      <x:c r="C6" s="5"/>
      <x:c r="D6" s="5"/>
      <x:c r="E6" s="5"/>
      <x:c r="F6" s="5"/>
      <x:c r="G6" s="5"/>
      <x:c r="H6" s="5"/>
      <x:c r="I6" s="5"/>
      <x:c r="J6" s="5"/>
      <x:c r="K6" s="5"/>
      <x:c r="L6" s="5"/>
      <x:c r="M6" s="3"/>
      <x:c r="N6" s="78"/>
    </x:row>
    <x:row r="7" ht="24" customHeight="1">
      <x:c r="A7" s="18" t="str">
        <x:v>Revenue</x:v>
      </x:c>
      <x:c r="B7" s="18"/>
      <x:c r="C7" s="19"/>
      <x:c r="D7" s="19"/>
      <x:c r="E7" s="19"/>
      <x:c r="F7" s="19"/>
      <x:c r="G7" s="19"/>
      <x:c r="H7" s="19"/>
      <x:c r="I7" s="19"/>
      <x:c r="J7" s="19"/>
      <x:c r="K7" s="19"/>
      <x:c r="L7" s="19"/>
      <x:c r="M7" s="3"/>
      <x:c r="N7" s="78"/>
    </x:row>
    <x:row r="8" ht="21" customHeight="1">
      <x:c r="A8" s="6" t="str">
        <x:v>Core-business revenue</x:v>
      </x:c>
      <x:c r="B8" s="3"/>
      <x:c r="C8" s="5"/>
      <x:c r="D8" s="5"/>
      <x:c r="E8" s="5"/>
      <x:c r="F8" s="5"/>
      <x:c r="G8" s="5" t="n">
        <x:f>G10-G9</x:f>
        <x:v>3116.8</x:v>
      </x:c>
      <x:c r="H8" s="13" t="n">
        <x:f>G8*(1+'02_Assumptions'!H68)</x:f>
        <x:v>3490.8160000000007</x:v>
      </x:c>
      <x:c r="I8" s="13" t="n">
        <x:f>H8*(1+'02_Assumptions'!I68)</x:f>
        <x:v>3866.0787200000004</x:v>
      </x:c>
      <x:c r="J8" s="13" t="n">
        <x:f>I8*(1+'02_Assumptions'!J68)</x:f>
        <x:v>4233.356198400001</x:v>
      </x:c>
      <x:c r="K8" s="13" t="n">
        <x:f>J8*(1+'02_Assumptions'!K68)</x:f>
        <x:v>4582.6080847680005</x:v>
      </x:c>
      <x:c r="L8" s="13" t="n">
        <x:f>K8*(1+'02_Assumptions'!L68)</x:f>
        <x:v>4903.390650701761</x:v>
      </x:c>
      <x:c r="M8" s="3"/>
      <x:c r="N8" s="78"/>
    </x:row>
    <x:row r="9" ht="21" customHeight="1">
      <x:c r="A9" s="6" t="str">
        <x:v>Plastics revenue</x:v>
      </x:c>
      <x:c r="B9" s="3"/>
      <x:c r="C9" s="5"/>
      <x:c r="D9" s="5"/>
      <x:c r="E9" s="5"/>
      <x:c r="F9" s="5"/>
      <x:c r="G9" s="13" t="n">
        <x:f>'02_Assumptions'!$C$58</x:f>
        <x:v>924</x:v>
      </x:c>
      <x:c r="H9" s="13" t="n">
        <x:f>MIN((G9-'02_Assumptions'!$C$59)*(1+'02_Assumptions'!H69),'02_Assumptions'!$K$23)</x:f>
        <x:v>987.8499999999999</x:v>
      </x:c>
      <x:c r="I9" s="13" t="n">
        <x:f>MIN(H9*(1+'02_Assumptions'!I69),'02_Assumptions'!$K$24)</x:f>
        <x:v>1165.6629999999998</x:v>
      </x:c>
      <x:c r="J9" s="13" t="n">
        <x:f>MIN(I9*(1+'02_Assumptions'!J69),'02_Assumptions'!$K$24)</x:f>
        <x:v>1375.4823399999996</x:v>
      </x:c>
      <x:c r="K9" s="13" t="n">
        <x:f>MIN(J9*(1+'02_Assumptions'!K69),'02_Assumptions'!$K$24)</x:f>
        <x:v>1623.0691611999994</x:v>
      </x:c>
      <x:c r="L9" s="13" t="n">
        <x:f>MIN(K9*(1+'02_Assumptions'!L69),'02_Assumptions'!$K$24)</x:f>
        <x:v>1915.2216102159991</x:v>
      </x:c>
      <x:c r="M9" s="3"/>
      <x:c r="N9" s="78"/>
    </x:row>
    <x:row r="10" ht="21" customHeight="1">
      <x:c r="A10" s="20" t="str">
        <x:v>Consolidated revenue</x:v>
      </x:c>
      <x:c r="B10" s="21"/>
      <x:c r="C10" s="23" t="n">
        <x:f>'10_Historical'!C8</x:f>
        <x:v>1544.6929</x:v>
      </x:c>
      <x:c r="D10" s="23" t="n">
        <x:f>'10_Historical'!D8</x:f>
        <x:v>1958.5607</x:v>
      </x:c>
      <x:c r="E10" s="23" t="n">
        <x:f>'10_Historical'!E8</x:f>
        <x:v>2271.7823</x:v>
      </x:c>
      <x:c r="F10" s="23" t="n">
        <x:f>'10_Historical'!F8</x:f>
        <x:v>2691.92</x:v>
      </x:c>
      <x:c r="G10" s="23" t="n">
        <x:f>'10_Historical'!G8</x:f>
        <x:v>4040.8</x:v>
      </x:c>
      <x:c r="H10" s="22" t="n">
        <x:f>SUM(H8:H9)</x:f>
        <x:v>4478.666000000001</x:v>
      </x:c>
      <x:c r="I10" s="22" t="n">
        <x:f>SUM(I8:I9)</x:f>
        <x:v>5031.74172</x:v>
      </x:c>
      <x:c r="J10" s="22" t="n">
        <x:f>SUM(J8:J9)</x:f>
        <x:v>5608.8385384</x:v>
      </x:c>
      <x:c r="K10" s="22" t="n">
        <x:f>SUM(K8:K9)</x:f>
        <x:v>6205.677245968</x:v>
      </x:c>
      <x:c r="L10" s="22" t="n">
        <x:f>SUM(L8:L9)</x:f>
        <x:v>6818.61226091776</x:v>
      </x:c>
      <x:c r="M10" s="3"/>
      <x:c r="N10" s="78"/>
    </x:row>
    <x:row r="11" ht="21" customHeight="1">
      <x:c r="A11" s="3"/>
      <x:c r="B11" s="3"/>
      <x:c r="C11" s="5"/>
      <x:c r="D11" s="5"/>
      <x:c r="E11" s="5"/>
      <x:c r="F11" s="5"/>
      <x:c r="G11" s="5"/>
      <x:c r="H11" s="5"/>
      <x:c r="I11" s="5"/>
      <x:c r="J11" s="5"/>
      <x:c r="K11" s="5"/>
      <x:c r="L11" s="5"/>
      <x:c r="M11" s="3"/>
      <x:c r="N11" s="78"/>
    </x:row>
    <x:row r="12" ht="21" customHeight="1">
      <x:c r="A12" s="3"/>
      <x:c r="B12" s="3"/>
      <x:c r="C12" s="5"/>
      <x:c r="D12" s="5"/>
      <x:c r="E12" s="5"/>
      <x:c r="F12" s="5"/>
      <x:c r="G12" s="5"/>
      <x:c r="H12" s="5"/>
      <x:c r="I12" s="5"/>
      <x:c r="J12" s="5"/>
      <x:c r="K12" s="5"/>
      <x:c r="L12" s="5"/>
      <x:c r="M12" s="3"/>
      <x:c r="N12" s="78"/>
    </x:row>
    <x:row r="13" ht="24" customHeight="1">
      <x:c r="A13" s="18" t="str">
        <x:v>Working capital</x:v>
      </x:c>
      <x:c r="B13" s="18"/>
      <x:c r="C13" s="19"/>
      <x:c r="D13" s="19"/>
      <x:c r="E13" s="19"/>
      <x:c r="F13" s="19"/>
      <x:c r="G13" s="19"/>
      <x:c r="H13" s="19"/>
      <x:c r="I13" s="19"/>
      <x:c r="J13" s="19"/>
      <x:c r="K13" s="19"/>
      <x:c r="L13" s="19"/>
      <x:c r="M13" s="3"/>
      <x:c r="N13" s="78"/>
    </x:row>
    <x:row r="14" ht="21" customHeight="1">
      <x:c r="A14" s="6" t="str">
        <x:v>Inventories</x:v>
      </x:c>
      <x:c r="B14" s="3"/>
      <x:c r="C14" s="13" t="n">
        <x:f>'10_Historical'!C27</x:f>
        <x:v>236.4727</x:v>
      </x:c>
      <x:c r="D14" s="13" t="n">
        <x:f>'10_Historical'!D27</x:f>
        <x:v>271.6792</x:v>
      </x:c>
      <x:c r="E14" s="13" t="n">
        <x:f>'10_Historical'!E27</x:f>
        <x:v>320.265</x:v>
      </x:c>
      <x:c r="F14" s="13" t="n">
        <x:f>'10_Historical'!F27</x:f>
        <x:v>362.63</x:v>
      </x:c>
      <x:c r="G14" s="13" t="n">
        <x:f>'10_Historical'!G27</x:f>
        <x:v>539.33</x:v>
      </x:c>
      <x:c r="H14" s="13" t="n">
        <x:f>H17*'10_Historical'!$G$27/('10_Historical'!$G$27+'10_Historical'!$G$28-'10_Historical'!$G$43)</x:f>
        <x:v>613.4952625645473</x:v>
      </x:c>
      <x:c r="I14" s="13" t="n">
        <x:f>I17*'10_Historical'!$G$27/('10_Historical'!$G$27+'10_Historical'!$G$28-'10_Historical'!$G$43)</x:f>
        <x:v>689.2565124678611</x:v>
      </x:c>
      <x:c r="J14" s="13" t="n">
        <x:f>J17*'10_Historical'!$G$27/('10_Historical'!$G$27+'10_Historical'!$G$28-'10_Historical'!$G$43)</x:f>
        <x:v>768.3082131594226</x:v>
      </x:c>
      <x:c r="K14" s="13" t="n">
        <x:f>K17*'10_Historical'!$G$27/('10_Historical'!$G$27+'10_Historical'!$G$28-'10_Historical'!$G$43)</x:f>
        <x:v>850.0641913029401</x:v>
      </x:c>
      <x:c r="L14" s="13" t="n">
        <x:f>L17*'10_Historical'!$G$27/('10_Historical'!$G$27+'10_Historical'!$G$28-'10_Historical'!$G$43)</x:f>
        <x:v>934.0250689240014</x:v>
      </x:c>
      <x:c r="M14" s="3"/>
      <x:c r="N14" s="78"/>
    </x:row>
    <x:row r="15" ht="21" customHeight="1">
      <x:c r="A15" s="6" t="str">
        <x:v>Trade receivables</x:v>
      </x:c>
      <x:c r="B15" s="3"/>
      <x:c r="C15" s="13" t="n">
        <x:f>'10_Historical'!C28</x:f>
        <x:v>238.9208</x:v>
      </x:c>
      <x:c r="D15" s="13" t="n">
        <x:f>'10_Historical'!D28</x:f>
        <x:v>268.9791</x:v>
      </x:c>
      <x:c r="E15" s="13" t="n">
        <x:f>'10_Historical'!E28</x:f>
        <x:v>287.0407</x:v>
      </x:c>
      <x:c r="F15" s="13" t="n">
        <x:f>'10_Historical'!F28</x:f>
        <x:v>472.74</x:v>
      </x:c>
      <x:c r="G15" s="13" t="n">
        <x:f>'10_Historical'!G28</x:f>
        <x:v>577.8</x:v>
      </x:c>
      <x:c r="H15" s="13" t="n">
        <x:f>H17*'10_Historical'!$G$28/('10_Historical'!$G$27+'10_Historical'!$G$28-'10_Historical'!$G$43)</x:f>
        <x:v>657.2554145139253</x:v>
      </x:c>
      <x:c r="I15" s="13" t="n">
        <x:f>I17*'10_Historical'!$G$28/('10_Historical'!$G$27+'10_Historical'!$G$28-'10_Historical'!$G$43)</x:f>
        <x:v>738.4206569334733</x:v>
      </x:c>
      <x:c r="J15" s="13" t="n">
        <x:f>J17*'10_Historical'!$G$28/('10_Historical'!$G$27+'10_Historical'!$G$28-'10_Historical'!$G$43)</x:f>
        <x:v>823.1110555012967</x:v>
      </x:c>
      <x:c r="K15" s="13" t="n">
        <x:f>K17*'10_Historical'!$G$28/('10_Historical'!$G$27+'10_Historical'!$G$28-'10_Historical'!$G$43)</x:f>
        <x:v>910.6986255814413</x:v>
      </x:c>
      <x:c r="L15" s="13" t="n">
        <x:f>L17*'10_Historical'!$G$28/('10_Historical'!$G$27+'10_Historical'!$G$28-'10_Historical'!$G$43)</x:f>
        <x:v>1000.6483689471897</x:v>
      </x:c>
      <x:c r="M15" s="3"/>
      <x:c r="N15" s="78"/>
    </x:row>
    <x:row r="16" ht="21" customHeight="1">
      <x:c r="A16" s="6" t="str">
        <x:v>Trade payables</x:v>
      </x:c>
      <x:c r="B16" s="3"/>
      <x:c r="C16" s="13" t="n">
        <x:f>'10_Historical'!C43</x:f>
        <x:v>269.9445</x:v>
      </x:c>
      <x:c r="D16" s="13" t="n">
        <x:f>'10_Historical'!D43</x:f>
        <x:v>282.63030000000003</x:v>
      </x:c>
      <x:c r="E16" s="13" t="n">
        <x:f>'10_Historical'!E43</x:f>
        <x:v>325.8118</x:v>
      </x:c>
      <x:c r="F16" s="13" t="n">
        <x:f>'10_Historical'!F43</x:f>
        <x:v>379.88</x:v>
      </x:c>
      <x:c r="G16" s="13" t="n">
        <x:f>'10_Historical'!G43</x:f>
        <x:v>546.23</x:v>
      </x:c>
      <x:c r="H16" s="13" t="n">
        <x:f>H17*'10_Historical'!$G$43/('10_Historical'!$G$27+'10_Historical'!$G$28-'10_Historical'!$G$43)</x:f>
        <x:v>621.3441070784726</x:v>
      </x:c>
      <x:c r="I16" s="13" t="n">
        <x:f>I17*'10_Historical'!$G$43/('10_Historical'!$G$27+'10_Historical'!$G$28-'10_Historical'!$G$43)</x:f>
        <x:v>698.0746200013346</x:v>
      </x:c>
      <x:c r="J16" s="13" t="n">
        <x:f>J17*'10_Historical'!$G$43/('10_Historical'!$G$27+'10_Historical'!$G$28-'10_Historical'!$G$43)</x:f>
        <x:v>778.1376805927196</x:v>
      </x:c>
      <x:c r="K16" s="13" t="n">
        <x:f>K17*'10_Historical'!$G$43/('10_Historical'!$G$27+'10_Historical'!$G$28-'10_Historical'!$G$43)</x:f>
        <x:v>860.9396162190217</x:v>
      </x:c>
      <x:c r="L16" s="13" t="n">
        <x:f>L17*'10_Historical'!$G$43/('10_Historical'!$G$27+'10_Historical'!$G$28-'10_Historical'!$G$43)</x:f>
        <x:v>945.9746600381162</x:v>
      </x:c>
      <x:c r="M16" s="3"/>
      <x:c r="N16" s="78"/>
    </x:row>
    <x:row r="17" ht="21" customHeight="1">
      <x:c r="A17" s="20" t="str">
        <x:v>Operating working capital</x:v>
      </x:c>
      <x:c r="B17" s="21"/>
      <x:c r="C17" s="22" t="n">
        <x:f>SUM(C14:C15)-C16</x:f>
        <x:v>205.449</x:v>
      </x:c>
      <x:c r="D17" s="22" t="n">
        <x:f>SUM(D14:D15)-D16</x:f>
        <x:v>258.028</x:v>
      </x:c>
      <x:c r="E17" s="22" t="n">
        <x:f>SUM(E14:E15)-E16</x:f>
        <x:v>281.4939</x:v>
      </x:c>
      <x:c r="F17" s="22" t="n">
        <x:f>SUM(F14:F15)-F16</x:f>
        <x:v>455.49</x:v>
      </x:c>
      <x:c r="G17" s="22" t="n">
        <x:f>SUM(G14:G15)-G16</x:f>
        <x:v>570.9000000000001</x:v>
      </x:c>
      <x:c r="H17" s="23" t="n">
        <x:f>H10*'02_Assumptions'!H71</x:f>
        <x:v>649.4065700000001</x:v>
      </x:c>
      <x:c r="I17" s="23" t="n">
        <x:f>I10*'02_Assumptions'!I71</x:f>
        <x:v>729.6025493999999</x:v>
      </x:c>
      <x:c r="J17" s="23" t="n">
        <x:f>J10*'02_Assumptions'!J71</x:f>
        <x:v>813.281588068</x:v>
      </x:c>
      <x:c r="K17" s="23" t="n">
        <x:f>K10*'02_Assumptions'!K71</x:f>
        <x:v>899.8232006653599</x:v>
      </x:c>
      <x:c r="L17" s="23" t="n">
        <x:f>L10*'02_Assumptions'!L71</x:f>
        <x:v>988.6987778330752</x:v>
      </x:c>
      <x:c r="M17" s="3"/>
      <x:c r="N17" s="78"/>
    </x:row>
    <x:row r="18" ht="21" customHeight="1">
      <x:c r="A18" s="6" t="str">
        <x:v>Change in operating working capital</x:v>
      </x:c>
      <x:c r="B18" s="3"/>
      <x:c r="C18" s="5"/>
      <x:c r="D18" s="5"/>
      <x:c r="E18" s="5"/>
      <x:c r="F18" s="5"/>
      <x:c r="G18" s="5"/>
      <x:c r="H18" s="5" t="n">
        <x:f>H17-G17</x:f>
        <x:v>78.50657000000001</x:v>
      </x:c>
      <x:c r="I18" s="5" t="n">
        <x:f>I17-H17</x:f>
        <x:v>80.19597939999983</x:v>
      </x:c>
      <x:c r="J18" s="5" t="n">
        <x:f>J17-I17</x:f>
        <x:v>83.67903866800009</x:v>
      </x:c>
      <x:c r="K18" s="5" t="n">
        <x:f>K17-J17</x:f>
        <x:v>86.54161259735986</x:v>
      </x:c>
      <x:c r="L18" s="5" t="n">
        <x:f>L17-K17</x:f>
        <x:v>88.87557716771528</x:v>
      </x:c>
      <x:c r="M18" s="3"/>
      <x:c r="N18" s="78"/>
    </x:row>
    <x:row r="19" ht="21" customHeight="1">
      <x:c r="A19" s="3"/>
      <x:c r="B19" s="3"/>
      <x:c r="C19" s="5"/>
      <x:c r="D19" s="5"/>
      <x:c r="E19" s="5"/>
      <x:c r="F19" s="5"/>
      <x:c r="G19" s="5"/>
      <x:c r="H19" s="5"/>
      <x:c r="I19" s="5"/>
      <x:c r="J19" s="5"/>
      <x:c r="K19" s="5"/>
      <x:c r="L19" s="5"/>
      <x:c r="M19" s="3"/>
      <x:c r="N19" s="78"/>
    </x:row>
    <x:row r="20" ht="21" customHeight="1">
      <x:c r="A20" s="3"/>
      <x:c r="B20" s="3"/>
      <x:c r="C20" s="5"/>
      <x:c r="D20" s="5"/>
      <x:c r="E20" s="5"/>
      <x:c r="F20" s="5"/>
      <x:c r="G20" s="5"/>
      <x:c r="H20" s="5"/>
      <x:c r="I20" s="5"/>
      <x:c r="J20" s="5"/>
      <x:c r="K20" s="5"/>
      <x:c r="L20" s="5"/>
      <x:c r="M20" s="3"/>
      <x:c r="N20" s="78"/>
    </x:row>
    <x:row r="21" ht="24" customHeight="1">
      <x:c r="A21" s="18" t="str">
        <x:v>Fixed assets</x:v>
      </x:c>
      <x:c r="B21" s="18"/>
      <x:c r="C21" s="19"/>
      <x:c r="D21" s="19"/>
      <x:c r="E21" s="19"/>
      <x:c r="F21" s="19"/>
      <x:c r="G21" s="19"/>
      <x:c r="H21" s="19"/>
      <x:c r="I21" s="19"/>
      <x:c r="J21" s="19"/>
      <x:c r="K21" s="19"/>
      <x:c r="L21" s="19"/>
      <x:c r="M21" s="3"/>
      <x:c r="N21" s="78"/>
    </x:row>
    <x:row r="22" ht="21" customHeight="1">
      <x:c r="A22" s="6" t="str">
        <x:v>Opening PPE</x:v>
      </x:c>
      <x:c r="B22" s="3"/>
      <x:c r="C22" s="5"/>
      <x:c r="D22" s="5"/>
      <x:c r="E22" s="5"/>
      <x:c r="F22" s="5"/>
      <x:c r="G22" s="5"/>
      <x:c r="H22" s="5" t="n">
        <x:f>G27</x:f>
        <x:v>860.08</x:v>
      </x:c>
      <x:c r="I22" s="5" t="n">
        <x:f>H27</x:f>
        <x:v>1103.31405</x:v>
      </x:c>
      <x:c r="J22" s="5" t="n">
        <x:f>I27</x:f>
        <x:v>1331.4614105</x:v>
      </x:c>
      <x:c r="K22" s="5" t="n">
        <x:f>J27</x:f>
        <x:v>1489.33532822188</x:v>
      </x:c>
      <x:c r="L22" s="5" t="n">
        <x:f>K27</x:f>
        <x:v>1650.8581297487483</x:v>
      </x:c>
      <x:c r="M22" s="3"/>
      <x:c r="N22" s="79" t="str">
        <x:v>Depreciation uses opening PPE plus half-year commissioned</x:v>
      </x:c>
    </x:row>
    <x:row r="23" ht="21" customHeight="1">
      <x:c r="A23" s="6" t="str">
        <x:v>Cash capex</x:v>
      </x:c>
      <x:c r="B23" s="3"/>
      <x:c r="C23" s="13" t="n">
        <x:f>'10_Historical'!C56</x:f>
        <x:v>48.001</x:v>
      </x:c>
      <x:c r="D23" s="13" t="n">
        <x:f>'10_Historical'!D56</x:f>
        <x:v>80.9343</x:v>
      </x:c>
      <x:c r="E23" s="13" t="n">
        <x:f>'10_Historical'!E56</x:f>
        <x:v>148.3413</x:v>
      </x:c>
      <x:c r="F23" s="13" t="n">
        <x:f>'10_Historical'!F56</x:f>
        <x:v>215.53</x:v>
      </x:c>
      <x:c r="G23" s="13" t="n">
        <x:f>'10_Historical'!G56</x:f>
        <x:v>307.13</x:v>
      </x:c>
      <x:c r="H23" s="13" t="n">
        <x:f>'02_Assumptions'!$C$36/2</x:f>
        <x:v>350</x:v>
      </x:c>
      <x:c r="I23" s="13" t="n">
        <x:f>'02_Assumptions'!$C$36/2</x:f>
        <x:v>350</x:v>
      </x:c>
      <x:c r="J23" s="13" t="n">
        <x:f>J10*'02_Assumptions'!J79</x:f>
        <x:v>280.44192692</x:v>
      </x:c>
      <x:c r="K23" s="13" t="n">
        <x:f>K10*'02_Assumptions'!K79</x:f>
        <x:v>310.2838622984</x:v>
      </x:c>
      <x:c r="L23" s="13" t="n">
        <x:f>L10*'02_Assumptions'!L79</x:f>
        <x:v>340.93061304588804</x:v>
      </x:c>
      <x:c r="M23" s="3"/>
      <x:c r="N23" s="79" t="str">
        <x:v>additions. Interest uses opening debt. New borrowing and</x:v>
      </x:c>
    </x:row>
    <x:row r="24" ht="21" customHeight="1">
      <x:c r="A24" s="6" t="str">
        <x:v>Opening CWIP transferred to PPE</x:v>
      </x:c>
      <x:c r="B24" s="3"/>
      <x:c r="C24" s="5"/>
      <x:c r="D24" s="5"/>
      <x:c r="E24" s="5"/>
      <x:c r="F24" s="5"/>
      <x:c r="G24" s="5"/>
      <x:c r="H24" s="13" t="n">
        <x:f>G28*'02_Assumptions'!H89</x:f>
        <x:v>55.75</x:v>
      </x:c>
      <x:c r="I24" s="13" t="n">
        <x:f>H28*'02_Assumptions'!I89</x:f>
        <x:v>62.875</x:v>
      </x:c>
      <x:c r="J24" s="13" t="n">
        <x:f>I28*'02_Assumptions'!J89</x:f>
        <x:v>66.4375</x:v>
      </x:c>
      <x:c r="K24" s="13" t="n">
        <x:f>J28*'02_Assumptions'!K89</x:f>
        <x:v>61.262942691999996</x:v>
      </x:c>
      <x:c r="L24" s="13" t="n">
        <x:f>K28*'02_Assumptions'!L89</x:f>
        <x:v>61.65985757584001</x:v>
      </x:c>
      <x:c r="M24" s="3"/>
      <x:c r="N24" s="79" t="str">
        <x:v>surplus repayment occur at year-end.</x:v>
      </x:c>
    </x:row>
    <x:row r="25" ht="21" customHeight="1">
      <x:c r="A25" s="6" t="str">
        <x:v>Current capex commissioned</x:v>
      </x:c>
      <x:c r="B25" s="3"/>
      <x:c r="C25" s="5"/>
      <x:c r="D25" s="5"/>
      <x:c r="E25" s="5"/>
      <x:c r="F25" s="5"/>
      <x:c r="G25" s="5"/>
      <x:c r="H25" s="13" t="n">
        <x:f>H23*(1-'02_Assumptions'!H88)</x:f>
        <x:v>280</x:v>
      </x:c>
      <x:c r="I25" s="13" t="n">
        <x:f>I23*(1-'02_Assumptions'!I88)</x:f>
        <x:v>280</x:v>
      </x:c>
      <x:c r="J25" s="13" t="n">
        <x:f>J23*(1-'02_Assumptions'!J88)</x:f>
        <x:v>224.35354153600002</x:v>
      </x:c>
      <x:c r="K25" s="13" t="n">
        <x:f>K23*(1-'02_Assumptions'!K88)</x:f>
        <x:v>248.22708983872</x:v>
      </x:c>
      <x:c r="L25" s="13" t="n">
        <x:f>L23*(1-'02_Assumptions'!L88)</x:f>
        <x:v>272.74449043671046</x:v>
      </x:c>
      <x:c r="M25" s="3"/>
      <x:c r="N25" s="78"/>
    </x:row>
    <x:row r="26" ht="21" customHeight="1">
      <x:c r="A26" s="6" t="str">
        <x:v>PPE depreciation</x:v>
      </x:c>
      <x:c r="B26" s="3"/>
      <x:c r="C26" s="5"/>
      <x:c r="D26" s="5"/>
      <x:c r="E26" s="5"/>
      <x:c r="F26" s="5"/>
      <x:c r="G26" s="5"/>
      <x:c r="H26" s="13" t="n">
        <x:f>MIN(H22+H24+H25,(H22+(H24+H25)/2)*'02_Assumptions'!H80)</x:f>
        <x:v>92.51594999999999</x:v>
      </x:c>
      <x:c r="I26" s="13" t="n">
        <x:f>MIN(I22+I24+I25,(I22+(I24+I25)/2)*'02_Assumptions'!I80)</x:f>
        <x:v>114.7276395</x:v>
      </x:c>
      <x:c r="J26" s="13" t="n">
        <x:f>MIN(J22+J24+J25,(J22+(J24+J25)/2)*'02_Assumptions'!J80)</x:f>
        <x:v>132.91712381412</x:v>
      </x:c>
      <x:c r="K26" s="13" t="n">
        <x:f>MIN(K22+K24+K25,(K22+(K24+K25)/2)*'02_Assumptions'!K80)</x:f>
        <x:v>147.9672310038516</x:v>
      </x:c>
      <x:c r="L26" s="13" t="n">
        <x:f>MIN(L22+L24+L25,(L22+(L24+L25)/2)*'02_Assumptions'!L80)</x:f>
        <x:v>163.62542733795212</x:v>
      </x:c>
      <x:c r="M26" s="3"/>
      <x:c r="N26" s="78"/>
    </x:row>
    <x:row r="27" ht="21" customHeight="1">
      <x:c r="A27" s="20" t="str">
        <x:v>Closing PPE</x:v>
      </x:c>
      <x:c r="B27" s="21"/>
      <x:c r="C27" s="23" t="n">
        <x:f>'10_Historical'!C22</x:f>
        <x:v>374.3544</x:v>
      </x:c>
      <x:c r="D27" s="23" t="n">
        <x:f>'10_Historical'!D22</x:f>
        <x:v>395.8629</x:v>
      </x:c>
      <x:c r="E27" s="23" t="n">
        <x:f>'10_Historical'!E22</x:f>
        <x:v>459.2005</x:v>
      </x:c>
      <x:c r="F27" s="23" t="n">
        <x:f>'10_Historical'!F22</x:f>
        <x:v>706.52</x:v>
      </x:c>
      <x:c r="G27" s="23" t="n">
        <x:f>'10_Historical'!G22</x:f>
        <x:v>860.08</x:v>
      </x:c>
      <x:c r="H27" s="22" t="n">
        <x:f>SUM(H22,H24:H25)-H26</x:f>
        <x:v>1103.31405</x:v>
      </x:c>
      <x:c r="I27" s="22" t="n">
        <x:f>SUM(I22,I24:I25)-I26</x:f>
        <x:v>1331.4614105</x:v>
      </x:c>
      <x:c r="J27" s="22" t="n">
        <x:f>SUM(J22,J24:J25)-J26</x:f>
        <x:v>1489.33532822188</x:v>
      </x:c>
      <x:c r="K27" s="22" t="n">
        <x:f>SUM(K22,K24:K25)-K26</x:f>
        <x:v>1650.8581297487483</x:v>
      </x:c>
      <x:c r="L27" s="22" t="n">
        <x:f>SUM(L22,L24:L25)-L26</x:f>
        <x:v>1821.6370504233466</x:v>
      </x:c>
      <x:c r="M27" s="3"/>
      <x:c r="N27" s="78"/>
    </x:row>
    <x:row r="28" ht="21" customHeight="1">
      <x:c r="A28" s="20" t="str">
        <x:v>Closing CWIP</x:v>
      </x:c>
      <x:c r="B28" s="21"/>
      <x:c r="C28" s="23" t="n">
        <x:f>'10_Historical'!C23</x:f>
        <x:v>8.4404</x:v>
      </x:c>
      <x:c r="D28" s="23" t="n">
        <x:f>'10_Historical'!D23</x:f>
        <x:v>13.9856</x:v>
      </x:c>
      <x:c r="E28" s="23" t="n">
        <x:f>'10_Historical'!E23</x:f>
        <x:v>37.9008</x:v>
      </x:c>
      <x:c r="F28" s="23" t="n">
        <x:f>'10_Historical'!F23</x:f>
        <x:v>69.9</x:v>
      </x:c>
      <x:c r="G28" s="23" t="n">
        <x:f>'10_Historical'!G23</x:f>
        <x:v>111.5</x:v>
      </x:c>
      <x:c r="H28" s="22" t="n">
        <x:f>G28-H24+H23-H25</x:f>
        <x:v>125.75</x:v>
      </x:c>
      <x:c r="I28" s="22" t="n">
        <x:f>H28-I24+I23-I25</x:f>
        <x:v>132.875</x:v>
      </x:c>
      <x:c r="J28" s="22" t="n">
        <x:f>I28-J24+J23-J25</x:f>
        <x:v>122.52588538399999</x:v>
      </x:c>
      <x:c r="K28" s="22" t="n">
        <x:f>J28-K24+K23-K25</x:f>
        <x:v>123.31971515168001</x:v>
      </x:c>
      <x:c r="L28" s="22" t="n">
        <x:f>K28-L24+L23-L25</x:f>
        <x:v>129.8459801850176</x:v>
      </x:c>
      <x:c r="M28" s="3"/>
      <x:c r="N28" s="78"/>
    </x:row>
    <x:row r="29" ht="21" customHeight="1">
      <x:c r="A29" s="6" t="str">
        <x:v>Opening intangible assets</x:v>
      </x:c>
      <x:c r="B29" s="3"/>
      <x:c r="C29" s="5"/>
      <x:c r="D29" s="5"/>
      <x:c r="E29" s="5"/>
      <x:c r="F29" s="5"/>
      <x:c r="G29" s="5"/>
      <x:c r="H29" s="5" t="n">
        <x:f>G31</x:f>
        <x:v>63.69</x:v>
      </x:c>
      <x:c r="I29" s="5" t="n">
        <x:f>H31</x:f>
        <x:v>50.952</x:v>
      </x:c>
      <x:c r="J29" s="5" t="n">
        <x:f>I31</x:f>
        <x:v>40.7616</x:v>
      </x:c>
      <x:c r="K29" s="5" t="n">
        <x:f>J31</x:f>
        <x:v>32.60928</x:v>
      </x:c>
      <x:c r="L29" s="5" t="n">
        <x:f>K31</x:f>
        <x:v>26.087424</x:v>
      </x:c>
      <x:c r="M29" s="3"/>
      <x:c r="N29" s="78"/>
    </x:row>
    <x:row r="30" ht="21" customHeight="1">
      <x:c r="A30" s="6" t="str">
        <x:v>Intangible amortisation</x:v>
      </x:c>
      <x:c r="B30" s="3"/>
      <x:c r="C30" s="5"/>
      <x:c r="D30" s="5"/>
      <x:c r="E30" s="5"/>
      <x:c r="F30" s="5"/>
      <x:c r="G30" s="5"/>
      <x:c r="H30" s="13" t="n">
        <x:f>MIN(H29,H29*'02_Assumptions'!H90)</x:f>
        <x:v>12.738</x:v>
      </x:c>
      <x:c r="I30" s="13" t="n">
        <x:f>MIN(I29,I29*'02_Assumptions'!I90)</x:f>
        <x:v>10.1904</x:v>
      </x:c>
      <x:c r="J30" s="13" t="n">
        <x:f>MIN(J29,J29*'02_Assumptions'!J90)</x:f>
        <x:v>8.152320000000001</x:v>
      </x:c>
      <x:c r="K30" s="13" t="n">
        <x:f>MIN(K29,K29*'02_Assumptions'!K90)</x:f>
        <x:v>6.521856</x:v>
      </x:c>
      <x:c r="L30" s="13" t="n">
        <x:f>MIN(L29,L29*'02_Assumptions'!L90)</x:f>
        <x:v>5.2174848</x:v>
      </x:c>
      <x:c r="M30" s="3"/>
      <x:c r="N30" s="78"/>
    </x:row>
    <x:row r="31" ht="21" customHeight="1">
      <x:c r="A31" s="6" t="str">
        <x:v>Closing intangible assets</x:v>
      </x:c>
      <x:c r="B31" s="3"/>
      <x:c r="C31" s="13" t="n">
        <x:f>'10_Historical'!C74</x:f>
        <x:v>103.4383</x:v>
      </x:c>
      <x:c r="D31" s="13" t="n">
        <x:f>'10_Historical'!D74</x:f>
        <x:v>90.2946</x:v>
      </x:c>
      <x:c r="E31" s="13" t="n">
        <x:f>'10_Historical'!E74</x:f>
        <x:v>78.4071</x:v>
      </x:c>
      <x:c r="F31" s="13" t="n">
        <x:f>'10_Historical'!F74</x:f>
        <x:v>79.9</x:v>
      </x:c>
      <x:c r="G31" s="13" t="n">
        <x:f>'10_Historical'!G74</x:f>
        <x:v>63.69</x:v>
      </x:c>
      <x:c r="H31" s="5" t="n">
        <x:f>H29-H30</x:f>
        <x:v>50.952</x:v>
      </x:c>
      <x:c r="I31" s="5" t="n">
        <x:f>I29-I30</x:f>
        <x:v>40.7616</x:v>
      </x:c>
      <x:c r="J31" s="5" t="n">
        <x:f>J29-J30</x:f>
        <x:v>32.60928</x:v>
      </x:c>
      <x:c r="K31" s="5" t="n">
        <x:f>K29-K30</x:f>
        <x:v>26.087424</x:v>
      </x:c>
      <x:c r="L31" s="5" t="n">
        <x:f>L29-L30</x:f>
        <x:v>20.869939199999997</x:v>
      </x:c>
      <x:c r="M31" s="3"/>
      <x:c r="N31" s="78"/>
    </x:row>
    <x:row r="32" ht="21" customHeight="1">
      <x:c r="A32" s="6" t="str">
        <x:v>Goodwill amortisation</x:v>
      </x:c>
      <x:c r="B32" s="3"/>
      <x:c r="C32" s="5"/>
      <x:c r="D32" s="5"/>
      <x:c r="E32" s="5"/>
      <x:c r="F32" s="5"/>
      <x:c r="G32" s="5"/>
      <x:c r="H32" s="13" t="n">
        <x:f>MIN(MAX(0,G33-'02_Assumptions'!$C$62),'02_Assumptions'!$C$61)</x:f>
        <x:v>9.93</x:v>
      </x:c>
      <x:c r="I32" s="13" t="n">
        <x:f>MIN(MAX(0,H33-'02_Assumptions'!$C$62),'02_Assumptions'!$C$61)</x:f>
        <x:v>9.93</x:v>
      </x:c>
      <x:c r="J32" s="13" t="n">
        <x:f>MIN(MAX(0,I33-'02_Assumptions'!$C$62),'02_Assumptions'!$C$61)</x:f>
        <x:v>9.93</x:v>
      </x:c>
      <x:c r="K32" s="13" t="n">
        <x:f>MIN(MAX(0,J33-'02_Assumptions'!$C$62),'02_Assumptions'!$C$61)</x:f>
        <x:v>9.93</x:v>
      </x:c>
      <x:c r="L32" s="13" t="n">
        <x:f>MIN(MAX(0,K33-'02_Assumptions'!$C$62),'02_Assumptions'!$C$61)</x:f>
        <x:v>0.020000000000000462</x:v>
      </x:c>
      <x:c r="M32" s="3"/>
      <x:c r="N32" s="79" t="str">
        <x:v>Legacy scheme goodwill amortisation follows the existing</x:v>
      </x:c>
    </x:row>
    <x:row r="33" ht="21" customHeight="1">
      <x:c r="A33" s="6" t="str">
        <x:v>Closing goodwill</x:v>
      </x:c>
      <x:c r="B33" s="3"/>
      <x:c r="C33" s="13" t="n">
        <x:f>'10_Historical'!C73</x:f>
        <x:v>79.472</x:v>
      </x:c>
      <x:c r="D33" s="13" t="n">
        <x:f>'10_Historical'!D73</x:f>
        <x:v>69.538</x:v>
      </x:c>
      <x:c r="E33" s="13" t="n">
        <x:f>'10_Historical'!E73</x:f>
        <x:v>59.604</x:v>
      </x:c>
      <x:c r="F33" s="13" t="n">
        <x:f>'10_Historical'!F73</x:f>
        <x:v>51.72</x:v>
      </x:c>
      <x:c r="G33" s="13" t="n">
        <x:f>'10_Historical'!G73</x:f>
        <x:v>41.79</x:v>
      </x:c>
      <x:c r="H33" s="5" t="n">
        <x:f>G33-H32</x:f>
        <x:v>31.86</x:v>
      </x:c>
      <x:c r="I33" s="5" t="n">
        <x:f>H33-I32</x:f>
        <x:v>21.93</x:v>
      </x:c>
      <x:c r="J33" s="5" t="n">
        <x:f>I33-J32</x:f>
        <x:v>12</x:v>
      </x:c>
      <x:c r="K33" s="5" t="n">
        <x:f>J33-K32</x:f>
        <x:v>2.0700000000000003</x:v>
      </x:c>
      <x:c r="L33" s="5" t="n">
        <x:f>K33-L32</x:f>
        <x:v>2.05</x:v>
      </x:c>
      <x:c r="M33" s="3"/>
      <x:c r="N33" s="79" t="str">
        <x:v>annual-report treatment. Acquired goodwill is not amortised.</x:v>
      </x:c>
    </x:row>
    <x:row r="34" ht="21" customHeight="1">
      <x:c r="A34" s="6" t="str">
        <x:v>Closing intangibles under development</x:v>
      </x:c>
      <x:c r="B34" s="3"/>
      <x:c r="C34" s="13" t="n">
        <x:f>'10_Historical'!C75</x:f>
        <x:v>0</x:v>
      </x:c>
      <x:c r="D34" s="13" t="n">
        <x:f>'10_Historical'!D75</x:f>
        <x:v>0.6249</x:v>
      </x:c>
      <x:c r="E34" s="13" t="n">
        <x:f>'10_Historical'!E75</x:f>
        <x:v>0.3815</x:v>
      </x:c>
      <x:c r="F34" s="13" t="n">
        <x:f>'10_Historical'!F75</x:f>
        <x:v>0.47</x:v>
      </x:c>
      <x:c r="G34" s="13" t="n">
        <x:f>'10_Historical'!G75</x:f>
        <x:v>0.06</x:v>
      </x:c>
      <x:c r="H34" s="5" t="n">
        <x:f>G34</x:f>
        <x:v>0.06</x:v>
      </x:c>
      <x:c r="I34" s="5" t="n">
        <x:f>H34</x:f>
        <x:v>0.06</x:v>
      </x:c>
      <x:c r="J34" s="5" t="n">
        <x:f>I34</x:f>
        <x:v>0.06</x:v>
      </x:c>
      <x:c r="K34" s="5" t="n">
        <x:f>J34</x:f>
        <x:v>0.06</x:v>
      </x:c>
      <x:c r="L34" s="5" t="n">
        <x:f>K34</x:f>
        <x:v>0.06</x:v>
      </x:c>
      <x:c r="M34" s="3"/>
      <x:c r="N34" s="78"/>
    </x:row>
    <x:row r="35" ht="21" customHeight="1">
      <x:c r="A35" s="3"/>
      <x:c r="B35" s="3"/>
      <x:c r="C35" s="5"/>
      <x:c r="D35" s="5"/>
      <x:c r="E35" s="5"/>
      <x:c r="F35" s="5"/>
      <x:c r="G35" s="5"/>
      <x:c r="H35" s="5"/>
      <x:c r="I35" s="5"/>
      <x:c r="J35" s="5"/>
      <x:c r="K35" s="5"/>
      <x:c r="L35" s="5"/>
      <x:c r="M35" s="3"/>
      <x:c r="N35" s="78"/>
    </x:row>
    <x:row r="36" ht="21" customHeight="1">
      <x:c r="A36" s="3"/>
      <x:c r="B36" s="3"/>
      <x:c r="C36" s="5"/>
      <x:c r="D36" s="5"/>
      <x:c r="E36" s="5"/>
      <x:c r="F36" s="5"/>
      <x:c r="G36" s="5"/>
      <x:c r="H36" s="5"/>
      <x:c r="I36" s="5"/>
      <x:c r="J36" s="5"/>
      <x:c r="K36" s="5"/>
      <x:c r="L36" s="5"/>
      <x:c r="M36" s="3"/>
      <x:c r="N36" s="78"/>
    </x:row>
    <x:row r="37" ht="24" customHeight="1">
      <x:c r="A37" s="18" t="str">
        <x:v>Leases</x:v>
      </x:c>
      <x:c r="B37" s="18"/>
      <x:c r="C37" s="19"/>
      <x:c r="D37" s="19"/>
      <x:c r="E37" s="19"/>
      <x:c r="F37" s="19"/>
      <x:c r="G37" s="19"/>
      <x:c r="H37" s="19"/>
      <x:c r="I37" s="19"/>
      <x:c r="J37" s="19"/>
      <x:c r="K37" s="19"/>
      <x:c r="L37" s="19"/>
      <x:c r="M37" s="3"/>
      <x:c r="N37" s="78"/>
    </x:row>
    <x:row r="38" ht="21" customHeight="1">
      <x:c r="A38" s="6" t="str">
        <x:v>Opening right-of-use assets</x:v>
      </x:c>
      <x:c r="B38" s="3"/>
      <x:c r="C38" s="5"/>
      <x:c r="D38" s="5"/>
      <x:c r="E38" s="5"/>
      <x:c r="F38" s="5"/>
      <x:c r="G38" s="5"/>
      <x:c r="H38" s="5" t="n">
        <x:f>G41</x:f>
        <x:v>73.05</x:v>
      </x:c>
      <x:c r="I38" s="5" t="n">
        <x:f>H41</x:f>
        <x:v>75.05</x:v>
      </x:c>
      <x:c r="J38" s="5" t="n">
        <x:f>I41</x:f>
        <x:v>77.05</x:v>
      </x:c>
      <x:c r="K38" s="5" t="n">
        <x:f>J41</x:f>
        <x:v>79.05</x:v>
      </x:c>
      <x:c r="L38" s="5" t="n">
        <x:f>K41</x:f>
        <x:v>81.05</x:v>
      </x:c>
      <x:c r="M38" s="3"/>
      <x:c r="N38" s="78"/>
    </x:row>
    <x:row r="39" ht="21" customHeight="1">
      <x:c r="A39" s="6" t="str">
        <x:v>ROU additions</x:v>
      </x:c>
      <x:c r="B39" s="3"/>
      <x:c r="C39" s="5"/>
      <x:c r="D39" s="5"/>
      <x:c r="E39" s="5"/>
      <x:c r="F39" s="5"/>
      <x:c r="G39" s="5"/>
      <x:c r="H39" s="13" t="n">
        <x:f>'02_Assumptions'!H84</x:f>
        <x:v>8</x:v>
      </x:c>
      <x:c r="I39" s="13" t="n">
        <x:f>'02_Assumptions'!I84</x:f>
        <x:v>8</x:v>
      </x:c>
      <x:c r="J39" s="13" t="n">
        <x:f>'02_Assumptions'!J84</x:f>
        <x:v>8</x:v>
      </x:c>
      <x:c r="K39" s="13" t="n">
        <x:f>'02_Assumptions'!K84</x:f>
        <x:v>8</x:v>
      </x:c>
      <x:c r="L39" s="13" t="n">
        <x:f>'02_Assumptions'!L84</x:f>
        <x:v>8</x:v>
      </x:c>
      <x:c r="M39" s="3"/>
      <x:c r="N39" s="78"/>
    </x:row>
    <x:row r="40" ht="21" customHeight="1">
      <x:c r="A40" s="6" t="str">
        <x:v>ROU depreciation</x:v>
      </x:c>
      <x:c r="B40" s="3"/>
      <x:c r="C40" s="5"/>
      <x:c r="D40" s="5"/>
      <x:c r="E40" s="5"/>
      <x:c r="F40" s="5"/>
      <x:c r="G40" s="5"/>
      <x:c r="H40" s="13" t="n">
        <x:f>MIN(H38+H39,'02_Assumptions'!$C$60)</x:f>
        <x:v>6</x:v>
      </x:c>
      <x:c r="I40" s="13" t="n">
        <x:f>MIN(I38+I39,'02_Assumptions'!$C$60)</x:f>
        <x:v>6</x:v>
      </x:c>
      <x:c r="J40" s="13" t="n">
        <x:f>MIN(J38+J39,'02_Assumptions'!$C$60)</x:f>
        <x:v>6</x:v>
      </x:c>
      <x:c r="K40" s="13" t="n">
        <x:f>MIN(K38+K39,'02_Assumptions'!$C$60)</x:f>
        <x:v>6</x:v>
      </x:c>
      <x:c r="L40" s="13" t="n">
        <x:f>MIN(L38+L39,'02_Assumptions'!$C$60)</x:f>
        <x:v>6</x:v>
      </x:c>
      <x:c r="M40" s="3"/>
      <x:c r="N40" s="78"/>
    </x:row>
    <x:row r="41" ht="21" customHeight="1">
      <x:c r="A41" s="6" t="str">
        <x:v>Closing right-of-use assets</x:v>
      </x:c>
      <x:c r="B41" s="3"/>
      <x:c r="C41" s="13" t="n">
        <x:f>'10_Historical'!C24</x:f>
        <x:v>39.1692</x:v>
      </x:c>
      <x:c r="D41" s="13" t="n">
        <x:f>'10_Historical'!D24</x:f>
        <x:v>34.4636</x:v>
      </x:c>
      <x:c r="E41" s="13" t="n">
        <x:f>'10_Historical'!E24</x:f>
        <x:v>27.7177</x:v>
      </x:c>
      <x:c r="F41" s="13" t="n">
        <x:f>'10_Historical'!F24</x:f>
        <x:v>26.35</x:v>
      </x:c>
      <x:c r="G41" s="13" t="n">
        <x:f>'10_Historical'!G24</x:f>
        <x:v>73.05</x:v>
      </x:c>
      <x:c r="H41" s="5" t="n">
        <x:f>H38+H39-H40</x:f>
        <x:v>75.05</x:v>
      </x:c>
      <x:c r="I41" s="5" t="n">
        <x:f>I38+I39-I40</x:f>
        <x:v>77.05</x:v>
      </x:c>
      <x:c r="J41" s="5" t="n">
        <x:f>J38+J39-J40</x:f>
        <x:v>79.05</x:v>
      </x:c>
      <x:c r="K41" s="5" t="n">
        <x:f>K38+K39-K40</x:f>
        <x:v>81.05</x:v>
      </x:c>
      <x:c r="L41" s="5" t="n">
        <x:f>L38+L39-L40</x:f>
        <x:v>83.05</x:v>
      </x:c>
      <x:c r="M41" s="3"/>
      <x:c r="N41" s="78"/>
    </x:row>
    <x:row r="42" ht="21" customHeight="1">
      <x:c r="A42" s="6" t="str">
        <x:v>Opening lease liabilities</x:v>
      </x:c>
      <x:c r="B42" s="3"/>
      <x:c r="C42" s="5"/>
      <x:c r="D42" s="5"/>
      <x:c r="E42" s="5"/>
      <x:c r="F42" s="5"/>
      <x:c r="G42" s="5"/>
      <x:c r="H42" s="5" t="n">
        <x:f>G44</x:f>
        <x:v>16.240000000000002</x:v>
      </x:c>
      <x:c r="I42" s="5" t="n">
        <x:f>H44</x:f>
        <x:v>17.240000000000002</x:v>
      </x:c>
      <x:c r="J42" s="5" t="n">
        <x:f>I44</x:f>
        <x:v>18.240000000000002</x:v>
      </x:c>
      <x:c r="K42" s="5" t="n">
        <x:f>J44</x:f>
        <x:v>19.240000000000002</x:v>
      </x:c>
      <x:c r="L42" s="5" t="n">
        <x:f>K44</x:f>
        <x:v>20.240000000000002</x:v>
      </x:c>
      <x:c r="M42" s="3"/>
      <x:c r="N42" s="78"/>
    </x:row>
    <x:row r="43" ht="21" customHeight="1">
      <x:c r="A43" s="6" t="str">
        <x:v>Lease principal repayments</x:v>
      </x:c>
      <x:c r="B43" s="3"/>
      <x:c r="C43" s="5"/>
      <x:c r="D43" s="5"/>
      <x:c r="E43" s="5"/>
      <x:c r="F43" s="5"/>
      <x:c r="G43" s="5"/>
      <x:c r="H43" s="13" t="n">
        <x:f>MIN('02_Assumptions'!H85,H42+H39)</x:f>
        <x:v>7</x:v>
      </x:c>
      <x:c r="I43" s="13" t="n">
        <x:f>MIN('02_Assumptions'!I85,I42+I39)</x:f>
        <x:v>7</x:v>
      </x:c>
      <x:c r="J43" s="13" t="n">
        <x:f>MIN('02_Assumptions'!J85,J42+J39)</x:f>
        <x:v>7</x:v>
      </x:c>
      <x:c r="K43" s="13" t="n">
        <x:f>MIN('02_Assumptions'!K85,K42+K39)</x:f>
        <x:v>7</x:v>
      </x:c>
      <x:c r="L43" s="13" t="n">
        <x:f>MIN('02_Assumptions'!L85,L42+L39)</x:f>
        <x:v>7</x:v>
      </x:c>
      <x:c r="M43" s="3"/>
      <x:c r="N43" s="78"/>
    </x:row>
    <x:row r="44" ht="21" customHeight="1">
      <x:c r="A44" s="20" t="str">
        <x:v>Closing lease liabilities</x:v>
      </x:c>
      <x:c r="B44" s="21"/>
      <x:c r="C44" s="23" t="n">
        <x:f>SUM('10_Historical'!C41:'10_Historical'!C42)</x:f>
        <x:v>25.3549</x:v>
      </x:c>
      <x:c r="D44" s="23" t="n">
        <x:f>SUM('10_Historical'!D41:'10_Historical'!D42)</x:f>
        <x:v>21.1256</x:v>
      </x:c>
      <x:c r="E44" s="23" t="n">
        <x:f>SUM('10_Historical'!E41:'10_Historical'!E42)</x:f>
        <x:v>14.259599999999999</x:v>
      </x:c>
      <x:c r="F44" s="23" t="n">
        <x:f>SUM('10_Historical'!F41:'10_Historical'!F42)</x:f>
        <x:v>10.21</x:v>
      </x:c>
      <x:c r="G44" s="23" t="n">
        <x:f>SUM('10_Historical'!G41:'10_Historical'!G42)</x:f>
        <x:v>16.240000000000002</x:v>
      </x:c>
      <x:c r="H44" s="22" t="n">
        <x:f>H42+H39-H43</x:f>
        <x:v>17.240000000000002</x:v>
      </x:c>
      <x:c r="I44" s="22" t="n">
        <x:f>I42+I39-I43</x:f>
        <x:v>18.240000000000002</x:v>
      </x:c>
      <x:c r="J44" s="22" t="n">
        <x:f>J42+J39-J43</x:f>
        <x:v>19.240000000000002</x:v>
      </x:c>
      <x:c r="K44" s="22" t="n">
        <x:f>K42+K39-K43</x:f>
        <x:v>20.240000000000002</x:v>
      </x:c>
      <x:c r="L44" s="22" t="n">
        <x:f>L42+L39-L43</x:f>
        <x:v>21.240000000000002</x:v>
      </x:c>
      <x:c r="M44" s="3"/>
      <x:c r="N44" s="78"/>
    </x:row>
    <x:row r="45" ht="21" customHeight="1">
      <x:c r="A45" s="6" t="str">
        <x:v>Lease interest</x:v>
      </x:c>
      <x:c r="B45" s="3"/>
      <x:c r="C45" s="5"/>
      <x:c r="D45" s="5"/>
      <x:c r="E45" s="5"/>
      <x:c r="F45" s="5"/>
      <x:c r="G45" s="5"/>
      <x:c r="H45" s="13" t="n">
        <x:f>H42*'02_Assumptions'!H86</x:f>
        <x:v>0.9744</x:v>
      </x:c>
      <x:c r="I45" s="13" t="n">
        <x:f>I42*'02_Assumptions'!I86</x:f>
        <x:v>1.0344</x:v>
      </x:c>
      <x:c r="J45" s="13" t="n">
        <x:f>J42*'02_Assumptions'!J86</x:f>
        <x:v>1.0944</x:v>
      </x:c>
      <x:c r="K45" s="13" t="n">
        <x:f>K42*'02_Assumptions'!K86</x:f>
        <x:v>1.1544</x:v>
      </x:c>
      <x:c r="L45" s="13" t="n">
        <x:f>L42*'02_Assumptions'!L86</x:f>
        <x:v>1.2144000000000001</x:v>
      </x:c>
      <x:c r="M45" s="3"/>
      <x:c r="N45" s="78"/>
    </x:row>
    <x:row r="46" ht="21" customHeight="1">
      <x:c r="A46" s="3"/>
      <x:c r="B46" s="3"/>
      <x:c r="C46" s="5"/>
      <x:c r="D46" s="5"/>
      <x:c r="E46" s="5"/>
      <x:c r="F46" s="5"/>
      <x:c r="G46" s="5"/>
      <x:c r="H46" s="5"/>
      <x:c r="I46" s="5"/>
      <x:c r="J46" s="5"/>
      <x:c r="K46" s="5"/>
      <x:c r="L46" s="5"/>
      <x:c r="M46" s="3"/>
      <x:c r="N46" s="78"/>
    </x:row>
    <x:row r="47" ht="21" customHeight="1">
      <x:c r="A47" s="3"/>
      <x:c r="B47" s="3"/>
      <x:c r="C47" s="5"/>
      <x:c r="D47" s="5"/>
      <x:c r="E47" s="5"/>
      <x:c r="F47" s="5"/>
      <x:c r="G47" s="5"/>
      <x:c r="H47" s="5"/>
      <x:c r="I47" s="5"/>
      <x:c r="J47" s="5"/>
      <x:c r="K47" s="5"/>
      <x:c r="L47" s="5"/>
      <x:c r="M47" s="3"/>
      <x:c r="N47" s="78"/>
    </x:row>
    <x:row r="48" ht="21" customHeight="1">
      <x:c r="A48" s="3"/>
      <x:c r="B48" s="3"/>
      <x:c r="C48" s="5"/>
      <x:c r="D48" s="5"/>
      <x:c r="E48" s="5"/>
      <x:c r="F48" s="5"/>
      <x:c r="G48" s="5"/>
      <x:c r="H48" s="5"/>
      <x:c r="I48" s="5"/>
      <x:c r="J48" s="5"/>
      <x:c r="K48" s="5"/>
      <x:c r="L48" s="5"/>
      <x:c r="M48" s="3"/>
      <x:c r="N48" s="78"/>
    </x:row>
    <x:row r="49" ht="24" customHeight="1">
      <x:c r="A49" s="18" t="str">
        <x:v>Financing and liquidity</x:v>
      </x:c>
      <x:c r="B49" s="18"/>
      <x:c r="C49" s="19"/>
      <x:c r="D49" s="19"/>
      <x:c r="E49" s="19"/>
      <x:c r="F49" s="19"/>
      <x:c r="G49" s="19"/>
      <x:c r="H49" s="19"/>
      <x:c r="I49" s="19"/>
      <x:c r="J49" s="19"/>
      <x:c r="K49" s="19"/>
      <x:c r="L49" s="19"/>
      <x:c r="M49" s="3"/>
      <x:c r="N49" s="78"/>
    </x:row>
    <x:row r="50" ht="21" customHeight="1">
      <x:c r="A50" s="6" t="str">
        <x:v>Opening borrowings</x:v>
      </x:c>
      <x:c r="B50" s="3"/>
      <x:c r="C50" s="5"/>
      <x:c r="D50" s="5"/>
      <x:c r="E50" s="5"/>
      <x:c r="F50" s="5"/>
      <x:c r="G50" s="5"/>
      <x:c r="H50" s="5" t="n">
        <x:f>G60</x:f>
        <x:v>362.91999999999996</x:v>
      </x:c>
      <x:c r="I50" s="5" t="n">
        <x:f>H60</x:f>
        <x:v>403.5781536369759</x:v>
      </x:c>
      <x:c r="J50" s="5" t="n">
        <x:f>I60</x:f>
        <x:v>434.0026943686825</x:v>
      </x:c>
      <x:c r="K50" s="5" t="n">
        <x:f>J60</x:f>
        <x:v>345.24230270947675</x:v>
      </x:c>
      <x:c r="L50" s="5" t="n">
        <x:f>K60</x:f>
        <x:v>227.50274396908196</x:v>
      </x:c>
      <x:c r="M50" s="3"/>
      <x:c r="N50" s="78"/>
    </x:row>
    <x:row r="51" ht="21" customHeight="1">
      <x:c r="A51" s="6" t="str">
        <x:v>Scheduled debt repayment</x:v>
      </x:c>
      <x:c r="B51" s="3"/>
      <x:c r="C51" s="5"/>
      <x:c r="D51" s="5"/>
      <x:c r="E51" s="5"/>
      <x:c r="F51" s="5"/>
      <x:c r="G51" s="5"/>
      <x:c r="H51" s="13" t="n">
        <x:f>MIN('02_Assumptions'!H81,H50)</x:f>
        <x:v>20</x:v>
      </x:c>
      <x:c r="I51" s="13" t="n">
        <x:f>MIN('02_Assumptions'!I81,I50)</x:f>
        <x:v>20</x:v>
      </x:c>
      <x:c r="J51" s="13" t="n">
        <x:f>MIN('02_Assumptions'!J81,J50)</x:f>
        <x:v>20</x:v>
      </x:c>
      <x:c r="K51" s="13" t="n">
        <x:f>MIN('02_Assumptions'!K81,K50)</x:f>
        <x:v>20</x:v>
      </x:c>
      <x:c r="L51" s="13" t="n">
        <x:f>MIN('02_Assumptions'!L81,L50)</x:f>
        <x:v>20</x:v>
      </x:c>
      <x:c r="M51" s="3"/>
      <x:c r="N51" s="78"/>
    </x:row>
    <x:row r="52" ht="21" customHeight="1">
      <x:c r="A52" s="6" t="str">
        <x:v>Borrowing interest</x:v>
      </x:c>
      <x:c r="B52" s="3"/>
      <x:c r="C52" s="5"/>
      <x:c r="D52" s="5"/>
      <x:c r="E52" s="5"/>
      <x:c r="F52" s="5"/>
      <x:c r="G52" s="5"/>
      <x:c r="H52" s="13" t="n">
        <x:f>H50*'02_Assumptions'!H83</x:f>
        <x:v>30.8482</x:v>
      </x:c>
      <x:c r="I52" s="13" t="n">
        <x:f>I50*'02_Assumptions'!I83</x:f>
        <x:v>34.30414305914295</x:v>
      </x:c>
      <x:c r="J52" s="13" t="n">
        <x:f>J50*'02_Assumptions'!J83</x:f>
        <x:v>36.890229021338016</x:v>
      </x:c>
      <x:c r="K52" s="13" t="n">
        <x:f>K50*'02_Assumptions'!K83</x:f>
        <x:v>29.345595730305526</x:v>
      </x:c>
      <x:c r="L52" s="13" t="n">
        <x:f>L50*'02_Assumptions'!L83</x:f>
        <x:v>19.337733237371967</x:v>
      </x:c>
      <x:c r="M52" s="3"/>
      <x:c r="N52" s="78"/>
    </x:row>
    <x:row r="53" ht="21" customHeight="1">
      <x:c r="A53" s="6" t="str">
        <x:v>Cash dividends</x:v>
      </x:c>
      <x:c r="B53" s="3"/>
      <x:c r="C53" s="5"/>
      <x:c r="D53" s="5"/>
      <x:c r="E53" s="5"/>
      <x:c r="F53" s="5"/>
      <x:c r="G53" s="5"/>
      <x:c r="H53" s="13" t="n">
        <x:f>MAX(0,'03_Income_Statement'!H17)*'02_Assumptions'!H87</x:f>
        <x:v>27.25975404033601</x:v>
      </x:c>
      <x:c r="I53" s="13" t="n">
        <x:f>MAX(0,'03_Income_Statement'!I17)*'02_Assumptions'!I87</x:f>
        <x:v>30.776101507588137</x:v>
      </x:c>
      <x:c r="J53" s="13" t="n">
        <x:f>MAX(0,'03_Income_Statement'!J17)*'02_Assumptions'!J87</x:f>
        <x:v>34.935983311231766</x:v>
      </x:c>
      <x:c r="K53" s="13" t="n">
        <x:f>MAX(0,'03_Income_Statement'!K17)*'02_Assumptions'!K87</x:f>
        <x:v>40.34252453151812</x:v>
      </x:c>
      <x:c r="L53" s="13" t="n">
        <x:f>MAX(0,'03_Income_Statement'!L17)*'02_Assumptions'!L87</x:f>
        <x:v>46.86187364590799</x:v>
      </x:c>
      <x:c r="M53" s="3"/>
      <x:c r="N53" s="78"/>
    </x:row>
    <x:row r="54" ht="21" customHeight="1">
      <x:c r="A54" s="6" t="str">
        <x:v>Opening cash</x:v>
      </x:c>
      <x:c r="B54" s="3"/>
      <x:c r="C54" s="5"/>
      <x:c r="D54" s="5"/>
      <x:c r="E54" s="5"/>
      <x:c r="F54" s="5"/>
      <x:c r="G54" s="5"/>
      <x:c r="H54" s="5" t="n">
        <x:f>G61</x:f>
        <x:v>117.9</x:v>
      </x:c>
      <x:c r="I54" s="5" t="n">
        <x:f>H61</x:f>
        <x:v>89.57332000000002</x:v>
      </x:c>
      <x:c r="J54" s="5" t="n">
        <x:f>I61</x:f>
        <x:v>100.6348344</x:v>
      </x:c>
      <x:c r="K54" s="5" t="n">
        <x:f>J61</x:f>
        <x:v>112.17677076800001</x:v>
      </x:c>
      <x:c r="L54" s="5" t="n">
        <x:f>K61</x:f>
        <x:v>124.11354491936</x:v>
      </x:c>
      <x:c r="M54" s="3"/>
      <x:c r="N54" s="78"/>
    </x:row>
    <x:row r="55" ht="21" customHeight="1">
      <x:c r="A55" s="6" t="str">
        <x:v>Cash flow before financing</x:v>
      </x:c>
      <x:c r="B55" s="3"/>
      <x:c r="C55" s="5"/>
      <x:c r="D55" s="5"/>
      <x:c r="E55" s="5"/>
      <x:c r="F55" s="5"/>
      <x:c r="G55" s="5"/>
      <x:c r="H55" s="13" t="n">
        <x:f>'05_Cash_Flow'!H8+'05_Cash_Flow'!H9</x:f>
        <x:v>-2.902479596639921</x:v>
      </x:c>
      <x:c r="I55" s="13" t="n">
        <x:f>'05_Cash_Flow'!I8+'05_Cash_Flow'!I9</x:f>
        <x:v>53.751618235024466</x:v>
      </x:c>
      <x:c r="J55" s="13" t="n">
        <x:f>'05_Cash_Flow'!J8+'05_Cash_Flow'!J9</x:f>
        <x:v>180.22294035977558</x:v>
      </x:c>
      <x:c r="K55" s="13" t="n">
        <x:f>'05_Cash_Flow'!K8+'05_Cash_Flow'!K9</x:f>
        <x:v>207.51885315357845</x:v>
      </x:c>
      <x:c r="L55" s="13" t="n">
        <x:f>'05_Cash_Flow'!L8+'05_Cash_Flow'!L9</x:f>
        <x:v>234.2275916208007</x:v>
      </x:c>
      <x:c r="M55" s="3"/>
      <x:c r="N55" s="78"/>
    </x:row>
    <x:row r="56" ht="21" customHeight="1">
      <x:c r="A56" s="6" t="str">
        <x:v>Minimum cash balance</x:v>
      </x:c>
      <x:c r="B56" s="3"/>
      <x:c r="C56" s="5"/>
      <x:c r="D56" s="5"/>
      <x:c r="E56" s="5"/>
      <x:c r="F56" s="5"/>
      <x:c r="G56" s="5"/>
      <x:c r="H56" s="13" t="n">
        <x:f>H10*'02_Assumptions'!H82</x:f>
        <x:v>89.57332000000002</x:v>
      </x:c>
      <x:c r="I56" s="13" t="n">
        <x:f>I10*'02_Assumptions'!I82</x:f>
        <x:v>100.6348344</x:v>
      </x:c>
      <x:c r="J56" s="13" t="n">
        <x:f>J10*'02_Assumptions'!J82</x:f>
        <x:v>112.17677076800001</x:v>
      </x:c>
      <x:c r="K56" s="13" t="n">
        <x:f>K10*'02_Assumptions'!K82</x:f>
        <x:v>124.11354491936</x:v>
      </x:c>
      <x:c r="L56" s="13" t="n">
        <x:f>L10*'02_Assumptions'!L82</x:f>
        <x:v>136.3722452183552</x:v>
      </x:c>
      <x:c r="M56" s="3"/>
      <x:c r="N56" s="78"/>
    </x:row>
    <x:row r="57" ht="21" customHeight="1">
      <x:c r="A57" s="6" t="str">
        <x:v>Cash before new borrowing</x:v>
      </x:c>
      <x:c r="B57" s="3"/>
      <x:c r="C57" s="5"/>
      <x:c r="D57" s="5"/>
      <x:c r="E57" s="5"/>
      <x:c r="F57" s="5"/>
      <x:c r="G57" s="5"/>
      <x:c r="H57" s="13" t="n">
        <x:f>H54+H55-H51-H43-H53-'03_Income_Statement'!H13</x:f>
        <x:v>28.91516636302408</x:v>
      </x:c>
      <x:c r="I57" s="13" t="n">
        <x:f>I54+I55-I51-I43-I53-'03_Income_Statement'!I13</x:f>
        <x:v>50.2102936682934</x:v>
      </x:c>
      <x:c r="J57" s="13" t="n">
        <x:f>J54+J55-J51-J43-J53-'03_Income_Statement'!J13</x:f>
        <x:v>180.93716242720578</x:v>
      </x:c>
      <x:c r="K57" s="13" t="n">
        <x:f>K54+K55-K51-K43-K53-'03_Income_Statement'!K13</x:f>
        <x:v>221.8531036597548</x:v>
      </x:c>
      <x:c r="L57" s="13" t="n">
        <x:f>L54+L55-L51-L43-L53-'03_Income_Statement'!L13</x:f>
        <x:v>263.9271296568807</x:v>
      </x:c>
      <x:c r="M57" s="3"/>
      <x:c r="N57" s="78"/>
    </x:row>
    <x:row r="58" ht="21" customHeight="1">
      <x:c r="A58" s="6" t="str">
        <x:v>New borrowing required</x:v>
      </x:c>
      <x:c r="B58" s="3"/>
      <x:c r="C58" s="5"/>
      <x:c r="D58" s="5"/>
      <x:c r="E58" s="5"/>
      <x:c r="F58" s="5"/>
      <x:c r="G58" s="5"/>
      <x:c r="H58" s="5" t="n">
        <x:f>MAX(0,H56-H57)</x:f>
        <x:v>60.65815363697594</x:v>
      </x:c>
      <x:c r="I58" s="5" t="n">
        <x:f>MAX(0,I56-I57)</x:f>
        <x:v>50.4245407317066</x:v>
      </x:c>
      <x:c r="J58" s="5" t="n">
        <x:f>MAX(0,J56-J57)</x:f>
        <x:v>0</x:v>
      </x:c>
      <x:c r="K58" s="5" t="n">
        <x:f>MAX(0,K56-K57)</x:f>
        <x:v>0</x:v>
      </x:c>
      <x:c r="L58" s="5" t="n">
        <x:f>MAX(0,L56-L57)</x:f>
        <x:v>0</x:v>
      </x:c>
      <x:c r="M58" s="3"/>
      <x:c r="N58" s="78"/>
    </x:row>
    <x:row r="59" ht="21" customHeight="1">
      <x:c r="A59" s="6" t="str">
        <x:v>Surplus cash used to repay debt</x:v>
      </x:c>
      <x:c r="B59" s="3"/>
      <x:c r="C59" s="5"/>
      <x:c r="D59" s="5"/>
      <x:c r="E59" s="5"/>
      <x:c r="F59" s="5"/>
      <x:c r="G59" s="5"/>
      <x:c r="H59" s="5" t="n">
        <x:f>MIN(MAX(0,H57-H56),MAX(0,H50-H51))</x:f>
        <x:v>0</x:v>
      </x:c>
      <x:c r="I59" s="5" t="n">
        <x:f>MIN(MAX(0,I57-I56),MAX(0,I50-I51))</x:f>
        <x:v>0</x:v>
      </x:c>
      <x:c r="J59" s="5" t="n">
        <x:f>MIN(MAX(0,J57-J56),MAX(0,J50-J51))</x:f>
        <x:v>68.76039165920577</x:v>
      </x:c>
      <x:c r="K59" s="5" t="n">
        <x:f>MIN(MAX(0,K57-K56),MAX(0,K50-K51))</x:f>
        <x:v>97.7395587403948</x:v>
      </x:c>
      <x:c r="L59" s="5" t="n">
        <x:f>MIN(MAX(0,L57-L56),MAX(0,L50-L51))</x:f>
        <x:v>127.5548844385255</x:v>
      </x:c>
      <x:c r="M59" s="3"/>
      <x:c r="N59" s="78"/>
    </x:row>
    <x:row r="60" ht="21" customHeight="1">
      <x:c r="A60" s="20" t="str">
        <x:v>Closing borrowings</x:v>
      </x:c>
      <x:c r="B60" s="21"/>
      <x:c r="C60" s="23" t="n">
        <x:f>SUM('10_Historical'!C39:'10_Historical'!C40)</x:f>
        <x:v>128.0634</x:v>
      </x:c>
      <x:c r="D60" s="23" t="n">
        <x:f>SUM('10_Historical'!D39:'10_Historical'!D40)</x:f>
        <x:v>89.2025</x:v>
      </x:c>
      <x:c r="E60" s="23" t="n">
        <x:f>SUM('10_Historical'!E39:'10_Historical'!E40)</x:f>
        <x:v>46.6237</x:v>
      </x:c>
      <x:c r="F60" s="23" t="n">
        <x:f>SUM('10_Historical'!F39:'10_Historical'!F40)</x:f>
        <x:v>268.64</x:v>
      </x:c>
      <x:c r="G60" s="23" t="n">
        <x:f>SUM('10_Historical'!G39:'10_Historical'!G40)</x:f>
        <x:v>362.91999999999996</x:v>
      </x:c>
      <x:c r="H60" s="22" t="n">
        <x:f>H50-H51+H58-H59</x:f>
        <x:v>403.5781536369759</x:v>
      </x:c>
      <x:c r="I60" s="22" t="n">
        <x:f>I50-I51+I58-I59</x:f>
        <x:v>434.0026943686825</x:v>
      </x:c>
      <x:c r="J60" s="22" t="n">
        <x:f>J50-J51+J58-J59</x:f>
        <x:v>345.24230270947675</x:v>
      </x:c>
      <x:c r="K60" s="22" t="n">
        <x:f>K50-K51+K58-K59</x:f>
        <x:v>227.50274396908196</x:v>
      </x:c>
      <x:c r="L60" s="22" t="n">
        <x:f>L50-L51+L58-L59</x:f>
        <x:v>79.94785953055646</x:v>
      </x:c>
      <x:c r="M60" s="3"/>
      <x:c r="N60" s="78"/>
    </x:row>
    <x:row r="61" ht="21" customHeight="1">
      <x:c r="A61" s="20" t="str">
        <x:v>Closing cash</x:v>
      </x:c>
      <x:c r="B61" s="21"/>
      <x:c r="C61" s="23" t="n">
        <x:f>'10_Historical'!C55</x:f>
        <x:v>22.5859</x:v>
      </x:c>
      <x:c r="D61" s="23" t="n">
        <x:f>'10_Historical'!D55</x:f>
        <x:v>55.9968</x:v>
      </x:c>
      <x:c r="E61" s="23" t="n">
        <x:f>'10_Historical'!E55</x:f>
        <x:v>112.5423</x:v>
      </x:c>
      <x:c r="F61" s="23" t="n">
        <x:f>'10_Historical'!F55</x:f>
        <x:v>101.08</x:v>
      </x:c>
      <x:c r="G61" s="23" t="n">
        <x:f>'10_Historical'!G55</x:f>
        <x:v>117.9</x:v>
      </x:c>
      <x:c r="H61" s="22" t="n">
        <x:f>H57+H58-H59</x:f>
        <x:v>89.57332000000002</x:v>
      </x:c>
      <x:c r="I61" s="22" t="n">
        <x:f>I57+I58-I59</x:f>
        <x:v>100.6348344</x:v>
      </x:c>
      <x:c r="J61" s="22" t="n">
        <x:f>J57+J58-J59</x:f>
        <x:v>112.17677076800001</x:v>
      </x:c>
      <x:c r="K61" s="22" t="n">
        <x:f>K57+K58-K59</x:f>
        <x:v>124.11354491936</x:v>
      </x:c>
      <x:c r="L61" s="22" t="n">
        <x:f>L57+L58-L59</x:f>
        <x:v>136.3722452183552</x:v>
      </x:c>
      <x:c r="M61" s="3"/>
      <x:c r="N61" s="78"/>
    </x:row>
    <x:row r="62" ht="21" customHeight="1">
      <x:c r="A62" s="3"/>
      <x:c r="B62" s="3"/>
      <x:c r="C62" s="5"/>
      <x:c r="D62" s="5"/>
      <x:c r="E62" s="5"/>
      <x:c r="F62" s="5"/>
      <x:c r="G62" s="5"/>
      <x:c r="H62" s="5"/>
      <x:c r="I62" s="5"/>
      <x:c r="J62" s="5"/>
      <x:c r="K62" s="5"/>
      <x:c r="L62" s="5"/>
      <x:c r="M62" s="3"/>
      <x:c r="N62" s="78"/>
    </x:row>
    <x:row r="63" ht="21" customHeight="1">
      <x:c r="A63" s="3"/>
      <x:c r="B63" s="3"/>
      <x:c r="C63" s="5"/>
      <x:c r="D63" s="5"/>
      <x:c r="E63" s="5"/>
      <x:c r="F63" s="5"/>
      <x:c r="G63" s="5"/>
      <x:c r="H63" s="5"/>
      <x:c r="I63" s="5"/>
      <x:c r="J63" s="5"/>
      <x:c r="K63" s="5"/>
      <x:c r="L63" s="5"/>
      <x:c r="M63" s="3"/>
      <x:c r="N63" s="78"/>
    </x:row>
    <x:row r="64" ht="21" customHeight="1">
      <x:c r="A64" s="3"/>
      <x:c r="B64" s="3"/>
      <x:c r="C64" s="5"/>
      <x:c r="D64" s="5"/>
      <x:c r="E64" s="5"/>
      <x:c r="F64" s="5"/>
      <x:c r="G64" s="5"/>
      <x:c r="H64" s="5"/>
      <x:c r="I64" s="5"/>
      <x:c r="J64" s="5"/>
      <x:c r="K64" s="5"/>
      <x:c r="L64" s="5"/>
      <x:c r="M64" s="3"/>
      <x:c r="N64" s="78"/>
    </x:row>
    <x:row r="65" ht="24" customHeight="1">
      <x:c r="A65" s="18" t="str">
        <x:v>Equity and depreciation</x:v>
      </x:c>
      <x:c r="B65" s="18"/>
      <x:c r="C65" s="19"/>
      <x:c r="D65" s="19"/>
      <x:c r="E65" s="19"/>
      <x:c r="F65" s="19"/>
      <x:c r="G65" s="19"/>
      <x:c r="H65" s="19"/>
      <x:c r="I65" s="19"/>
      <x:c r="J65" s="19"/>
      <x:c r="K65" s="19"/>
      <x:c r="L65" s="19"/>
      <x:c r="M65" s="3"/>
      <x:c r="N65" s="78"/>
    </x:row>
    <x:row r="66" ht="21" customHeight="1">
      <x:c r="A66" s="6" t="str">
        <x:v>Opening other equity</x:v>
      </x:c>
      <x:c r="B66" s="3"/>
      <x:c r="C66" s="5"/>
      <x:c r="D66" s="5"/>
      <x:c r="E66" s="5"/>
      <x:c r="F66" s="5"/>
      <x:c r="G66" s="5"/>
      <x:c r="H66" s="5" t="n">
        <x:f>G69</x:f>
        <x:v>1242.7</x:v>
      </x:c>
      <x:c r="I66" s="5" t="n">
        <x:f>H69</x:f>
        <x:v>1488.037786363024</x:v>
      </x:c>
      <x:c r="J66" s="5" t="n">
        <x:f>I69</x:f>
        <x:v>1765.022699931317</x:v>
      </x:c>
      <x:c r="K66" s="5" t="n">
        <x:f>J69</x:f>
        <x:v>2079.446549732403</x:v>
      </x:c>
      <x:c r="L66" s="5" t="n">
        <x:f>K69</x:f>
        <x:v>2442.5292705160664</x:v>
      </x:c>
      <x:c r="M66" s="3"/>
      <x:c r="N66" s="78"/>
    </x:row>
    <x:row r="67" ht="21" customHeight="1">
      <x:c r="A67" s="6" t="str">
        <x:v>Profit attributable to owners</x:v>
      </x:c>
      <x:c r="B67" s="3"/>
      <x:c r="C67" s="5"/>
      <x:c r="D67" s="5"/>
      <x:c r="E67" s="5"/>
      <x:c r="F67" s="5"/>
      <x:c r="G67" s="5"/>
      <x:c r="H67" s="13" t="n">
        <x:f>'03_Income_Statement'!H17</x:f>
        <x:v>272.5975404033601</x:v>
      </x:c>
      <x:c r="I67" s="13" t="n">
        <x:f>'03_Income_Statement'!I17</x:f>
        <x:v>307.76101507588135</x:v>
      </x:c>
      <x:c r="J67" s="13" t="n">
        <x:f>'03_Income_Statement'!J17</x:f>
        <x:v>349.35983311231763</x:v>
      </x:c>
      <x:c r="K67" s="13" t="n">
        <x:f>'03_Income_Statement'!K17</x:f>
        <x:v>403.4252453151812</x:v>
      </x:c>
      <x:c r="L67" s="13" t="n">
        <x:f>'03_Income_Statement'!L17</x:f>
        <x:v>468.61873645907986</x:v>
      </x:c>
      <x:c r="M67" s="3"/>
      <x:c r="N67" s="78"/>
    </x:row>
    <x:row r="68" ht="21" customHeight="1">
      <x:c r="A68" s="6" t="str">
        <x:v>Cash dividends</x:v>
      </x:c>
      <x:c r="B68" s="3"/>
      <x:c r="C68" s="5"/>
      <x:c r="D68" s="5"/>
      <x:c r="E68" s="5"/>
      <x:c r="F68" s="5"/>
      <x:c r="G68" s="5"/>
      <x:c r="H68" s="5" t="n">
        <x:f>H53</x:f>
        <x:v>27.25975404033601</x:v>
      </x:c>
      <x:c r="I68" s="5" t="n">
        <x:f>I53</x:f>
        <x:v>30.776101507588137</x:v>
      </x:c>
      <x:c r="J68" s="5" t="n">
        <x:f>J53</x:f>
        <x:v>34.935983311231766</x:v>
      </x:c>
      <x:c r="K68" s="5" t="n">
        <x:f>K53</x:f>
        <x:v>40.34252453151812</x:v>
      </x:c>
      <x:c r="L68" s="5" t="n">
        <x:f>L53</x:f>
        <x:v>46.86187364590799</x:v>
      </x:c>
      <x:c r="M68" s="3"/>
      <x:c r="N68" s="78"/>
    </x:row>
    <x:row r="69" ht="21" customHeight="1">
      <x:c r="A69" s="20" t="str">
        <x:v>Closing other equity</x:v>
      </x:c>
      <x:c r="B69" s="21"/>
      <x:c r="C69" s="23" t="n">
        <x:f>'10_Historical'!C37</x:f>
        <x:v>563.9943</x:v>
      </x:c>
      <x:c r="D69" s="23" t="n">
        <x:f>'10_Historical'!D37</x:f>
        <x:v>692.0946</x:v>
      </x:c>
      <x:c r="E69" s="23" t="n">
        <x:f>'10_Historical'!E37</x:f>
        <x:v>833.084</x:v>
      </x:c>
      <x:c r="F69" s="23" t="n">
        <x:f>'10_Historical'!F37</x:f>
        <x:v>1003.84</x:v>
      </x:c>
      <x:c r="G69" s="23" t="n">
        <x:f>'10_Historical'!G37</x:f>
        <x:v>1242.7</x:v>
      </x:c>
      <x:c r="H69" s="22" t="n">
        <x:f>SUM(H66:H67)-H68</x:f>
        <x:v>1488.037786363024</x:v>
      </x:c>
      <x:c r="I69" s="22" t="n">
        <x:f>SUM(I66:I67)-I68</x:f>
        <x:v>1765.022699931317</x:v>
      </x:c>
      <x:c r="J69" s="22" t="n">
        <x:f>SUM(J66:J67)-J68</x:f>
        <x:v>2079.446549732403</x:v>
      </x:c>
      <x:c r="K69" s="22" t="n">
        <x:f>SUM(K66:K67)-K68</x:f>
        <x:v>2442.5292705160664</x:v>
      </x:c>
      <x:c r="L69" s="22" t="n">
        <x:f>SUM(L66:L67)-L68</x:f>
        <x:v>2864.286133329238</x:v>
      </x:c>
      <x:c r="M69" s="3"/>
      <x:c r="N69" s="78"/>
    </x:row>
    <x:row r="70" ht="21" customHeight="1">
      <x:c r="A70" s="20" t="str">
        <x:v>Total depreciation and amortisation</x:v>
      </x:c>
      <x:c r="B70" s="21"/>
      <x:c r="C70" s="23" t="n">
        <x:f>'10_Historical'!C12</x:f>
        <x:v>81.839</x:v>
      </x:c>
      <x:c r="D70" s="23" t="n">
        <x:f>'10_Historical'!D12</x:f>
        <x:v>77.9078</x:v>
      </x:c>
      <x:c r="E70" s="23" t="n">
        <x:f>'10_Historical'!E12</x:f>
        <x:v>82.0606</x:v>
      </x:c>
      <x:c r="F70" s="23" t="n">
        <x:f>'10_Historical'!F12</x:f>
        <x:v>89.75</x:v>
      </x:c>
      <x:c r="G70" s="23" t="n">
        <x:f>'10_Historical'!G12</x:f>
        <x:v>119.96</x:v>
      </x:c>
      <x:c r="H70" s="22" t="n">
        <x:f>SUM(H26,H30,H32,H40)</x:f>
        <x:v>121.18394999999998</x:v>
      </x:c>
      <x:c r="I70" s="22" t="n">
        <x:f>SUM(I26,I30,I32,I40)</x:f>
        <x:v>140.8480395</x:v>
      </x:c>
      <x:c r="J70" s="22" t="n">
        <x:f>SUM(J26,J30,J32,J40)</x:f>
        <x:v>156.99944381412</x:v>
      </x:c>
      <x:c r="K70" s="22" t="n">
        <x:f>SUM(K26,K30,K32,K40)</x:f>
        <x:v>170.4190870038516</x:v>
      </x:c>
      <x:c r="L70" s="22" t="n">
        <x:f>SUM(L26,L30,L32,L40)</x:f>
        <x:v>174.86291213795212</x:v>
      </x:c>
      <x:c r="M70" s="3"/>
      <x:c r="N70" s="78"/>
    </x:row>
    <x:row r="71" ht="21" customHeight="1">
      <x:c r="A71" s="3"/>
      <x:c r="B71" s="3"/>
      <x:c r="C71" s="5"/>
      <x:c r="D71" s="5"/>
      <x:c r="E71" s="5"/>
      <x:c r="F71" s="5"/>
      <x:c r="G71" s="5"/>
      <x:c r="H71" s="5"/>
      <x:c r="I71" s="5"/>
      <x:c r="J71" s="5"/>
      <x:c r="K71" s="5"/>
      <x:c r="L71" s="5"/>
      <x:c r="M71" s="3"/>
      <x:c r="N71" s="78"/>
    </x:row>
    <x:row r="72" ht="21" customHeight="1">
      <x:c r="A72" s="3"/>
      <x:c r="B72" s="3"/>
      <x:c r="C72" s="5"/>
      <x:c r="D72" s="5"/>
      <x:c r="E72" s="5"/>
      <x:c r="F72" s="5"/>
      <x:c r="G72" s="5"/>
      <x:c r="H72" s="5"/>
      <x:c r="I72" s="5"/>
      <x:c r="J72" s="5"/>
      <x:c r="K72" s="5"/>
      <x:c r="L72" s="5"/>
      <x:c r="M72" s="3"/>
      <x:c r="N72" s="78"/>
    </x:row>
    <x:row r="73" ht="21" customHeight="1">
      <x:c r="A73" s="3"/>
      <x:c r="B73" s="3"/>
      <x:c r="C73" s="5"/>
      <x:c r="D73" s="5"/>
      <x:c r="E73" s="5"/>
      <x:c r="F73" s="5"/>
      <x:c r="G73" s="5"/>
      <x:c r="H73" s="5"/>
      <x:c r="I73" s="5"/>
      <x:c r="J73" s="5"/>
      <x:c r="K73" s="5"/>
      <x:c r="L73" s="5"/>
      <x:c r="M73" s="3"/>
      <x:c r="N73" s="78"/>
    </x:row>
    <x:row r="74" ht="21" customHeight="1">
      <x:c r="A74" s="3"/>
      <x:c r="B74" s="3"/>
      <x:c r="C74" s="5"/>
      <x:c r="D74" s="5"/>
      <x:c r="E74" s="5"/>
      <x:c r="F74" s="5"/>
      <x:c r="G74" s="5"/>
      <x:c r="H74" s="5"/>
      <x:c r="I74" s="5"/>
      <x:c r="J74" s="5"/>
      <x:c r="K74" s="5"/>
      <x:c r="L74" s="5"/>
      <x:c r="M74" s="3"/>
      <x:c r="N74" s="78"/>
    </x:row>
    <x:row r="75" ht="21" customHeight="1">
      <x:c r="A75" s="3"/>
      <x:c r="B75" s="3"/>
      <x:c r="C75" s="5"/>
      <x:c r="D75" s="5"/>
      <x:c r="E75" s="5"/>
      <x:c r="F75" s="5"/>
      <x:c r="G75" s="5"/>
      <x:c r="H75" s="5"/>
      <x:c r="I75" s="5"/>
      <x:c r="J75" s="5"/>
      <x:c r="K75" s="5"/>
      <x:c r="L75" s="5"/>
      <x:c r="M75" s="3"/>
      <x:c r="N75" s="78"/>
    </x:row>
    <x:row r="76" ht="21" customHeight="1">
      <x:c r="A76" s="3"/>
      <x:c r="B76" s="3"/>
      <x:c r="C76" s="5"/>
      <x:c r="D76" s="5"/>
      <x:c r="E76" s="5"/>
      <x:c r="F76" s="5"/>
      <x:c r="G76" s="5"/>
      <x:c r="H76" s="5"/>
      <x:c r="I76" s="5"/>
      <x:c r="J76" s="5"/>
      <x:c r="K76" s="5"/>
      <x:c r="L76" s="5"/>
      <x:c r="M76" s="3"/>
      <x:c r="N76" s="78"/>
    </x:row>
    <x:row r="77" ht="21" customHeight="1">
      <x:c r="A77" s="3"/>
      <x:c r="B77" s="3"/>
      <x:c r="C77" s="5"/>
      <x:c r="D77" s="5"/>
      <x:c r="E77" s="5"/>
      <x:c r="F77" s="5"/>
      <x:c r="G77" s="5"/>
      <x:c r="H77" s="5"/>
      <x:c r="I77" s="5"/>
      <x:c r="J77" s="5"/>
      <x:c r="K77" s="5"/>
      <x:c r="L77" s="5"/>
      <x:c r="M77" s="3"/>
      <x:c r="N77" s="78"/>
    </x:row>
    <x:row r="78" ht="21" customHeight="1">
      <x:c r="A78" s="3"/>
      <x:c r="B78" s="3"/>
      <x:c r="C78" s="5"/>
      <x:c r="D78" s="5"/>
      <x:c r="E78" s="5"/>
      <x:c r="F78" s="5"/>
      <x:c r="G78" s="5"/>
      <x:c r="H78" s="5"/>
      <x:c r="I78" s="5"/>
      <x:c r="J78" s="5"/>
      <x:c r="K78" s="5"/>
      <x:c r="L78" s="5"/>
      <x:c r="M78" s="3"/>
      <x:c r="N78" s="78"/>
    </x:row>
    <x:row r="79" ht="21" customHeight="1">
      <x:c r="A79" s="3"/>
      <x:c r="B79" s="3"/>
      <x:c r="C79" s="5"/>
      <x:c r="D79" s="5"/>
      <x:c r="E79" s="5"/>
      <x:c r="F79" s="5"/>
      <x:c r="G79" s="5"/>
      <x:c r="H79" s="5"/>
      <x:c r="I79" s="5"/>
      <x:c r="J79" s="5"/>
      <x:c r="K79" s="5"/>
      <x:c r="L79" s="5"/>
      <x:c r="M79" s="3"/>
      <x:c r="N79" s="78"/>
    </x:row>
    <x:row r="80" ht="21" customHeight="1">
      <x:c r="A80" s="3"/>
      <x:c r="B80" s="3"/>
      <x:c r="C80" s="5"/>
      <x:c r="D80" s="5"/>
      <x:c r="E80" s="5"/>
      <x:c r="F80" s="5"/>
      <x:c r="G80" s="5"/>
      <x:c r="H80" s="5"/>
      <x:c r="I80" s="5"/>
      <x:c r="J80" s="5"/>
      <x:c r="K80" s="5"/>
      <x:c r="L80" s="5"/>
      <x:c r="M80" s="3"/>
      <x:c r="N80" s="78"/>
    </x:row>
    <x:row r="81" ht="21" customHeight="1">
      <x:c r="A81" s="3"/>
      <x:c r="B81" s="3"/>
      <x:c r="C81" s="5"/>
      <x:c r="D81" s="5"/>
      <x:c r="E81" s="5"/>
      <x:c r="F81" s="5"/>
      <x:c r="G81" s="5"/>
      <x:c r="H81" s="5"/>
      <x:c r="I81" s="5"/>
      <x:c r="J81" s="5"/>
      <x:c r="K81" s="5"/>
      <x:c r="L81" s="5"/>
      <x:c r="M81" s="3"/>
      <x:c r="N81" s="78"/>
    </x:row>
    <x:row r="82" ht="21" customHeight="1">
      <x:c r="A82" s="3"/>
      <x:c r="B82" s="3"/>
      <x:c r="C82" s="5"/>
      <x:c r="D82" s="5"/>
      <x:c r="E82" s="5"/>
      <x:c r="F82" s="5"/>
      <x:c r="G82" s="5"/>
      <x:c r="H82" s="5"/>
      <x:c r="I82" s="5"/>
      <x:c r="J82" s="5"/>
      <x:c r="K82" s="5"/>
      <x:c r="L82" s="5"/>
      <x:c r="M82" s="3"/>
      <x:c r="N82" s="78"/>
    </x:row>
    <x:row r="83" ht="21" customHeight="1">
      <x:c r="A83" s="3"/>
      <x:c r="B83" s="3"/>
      <x:c r="C83" s="5"/>
      <x:c r="D83" s="5"/>
      <x:c r="E83" s="5"/>
      <x:c r="F83" s="5"/>
      <x:c r="G83" s="5"/>
      <x:c r="H83" s="5"/>
      <x:c r="I83" s="5"/>
      <x:c r="J83" s="5"/>
      <x:c r="K83" s="5"/>
      <x:c r="L83" s="5"/>
      <x:c r="M83" s="3"/>
      <x:c r="N83" s="78"/>
    </x:row>
    <x:row r="84" ht="21" customHeight="1">
      <x:c r="A84" s="3"/>
      <x:c r="B84" s="3"/>
      <x:c r="C84" s="5"/>
      <x:c r="D84" s="5"/>
      <x:c r="E84" s="5"/>
      <x:c r="F84" s="5"/>
      <x:c r="G84" s="5"/>
      <x:c r="H84" s="5"/>
      <x:c r="I84" s="5"/>
      <x:c r="J84" s="5"/>
      <x:c r="K84" s="5"/>
      <x:c r="L84" s="5"/>
      <x:c r="M84" s="3"/>
      <x:c r="N84" s="78"/>
    </x:row>
    <x:row r="85" ht="21" customHeight="1">
      <x:c r="A85" s="3"/>
      <x:c r="B85" s="3"/>
      <x:c r="C85" s="5"/>
      <x:c r="D85" s="5"/>
      <x:c r="E85" s="5"/>
      <x:c r="F85" s="5"/>
      <x:c r="G85" s="5"/>
      <x:c r="H85" s="5"/>
      <x:c r="I85" s="5"/>
      <x:c r="J85" s="5"/>
      <x:c r="K85" s="5"/>
      <x:c r="L85" s="5"/>
      <x:c r="M85" s="3"/>
      <x:c r="N85" s="78"/>
    </x:row>
    <x:row r="86" ht="21" customHeight="1">
      <x:c r="A86" s="3"/>
      <x:c r="B86" s="3"/>
      <x:c r="C86" s="5"/>
      <x:c r="D86" s="5"/>
      <x:c r="E86" s="5"/>
      <x:c r="F86" s="5"/>
      <x:c r="G86" s="5"/>
      <x:c r="H86" s="5"/>
      <x:c r="I86" s="5"/>
      <x:c r="J86" s="5"/>
      <x:c r="K86" s="5"/>
      <x:c r="L86" s="5"/>
      <x:c r="M86" s="3"/>
      <x:c r="N86" s="78"/>
    </x:row>
    <x:row r="87" ht="21" customHeight="1">
      <x:c r="A87" s="3"/>
      <x:c r="B87" s="3"/>
      <x:c r="C87" s="5"/>
      <x:c r="D87" s="5"/>
      <x:c r="E87" s="5"/>
      <x:c r="F87" s="5"/>
      <x:c r="G87" s="5"/>
      <x:c r="H87" s="5"/>
      <x:c r="I87" s="5"/>
      <x:c r="J87" s="5"/>
      <x:c r="K87" s="5"/>
      <x:c r="L87" s="5"/>
      <x:c r="M87" s="3"/>
      <x:c r="N87" s="78"/>
    </x:row>
    <x:row r="88" ht="21" customHeight="1">
      <x:c r="A88" s="3"/>
      <x:c r="B88" s="3"/>
      <x:c r="C88" s="5"/>
      <x:c r="D88" s="5"/>
      <x:c r="E88" s="5"/>
      <x:c r="F88" s="5"/>
      <x:c r="G88" s="5"/>
      <x:c r="H88" s="5"/>
      <x:c r="I88" s="5"/>
      <x:c r="J88" s="5"/>
      <x:c r="K88" s="5"/>
      <x:c r="L88" s="5"/>
      <x:c r="M88" s="3"/>
      <x:c r="N88" s="78"/>
    </x:row>
    <x:row r="89" ht="21" customHeight="1">
      <x:c r="A89" s="3"/>
      <x:c r="B89" s="3"/>
      <x:c r="C89" s="5"/>
      <x:c r="D89" s="5"/>
      <x:c r="E89" s="5"/>
      <x:c r="F89" s="5"/>
      <x:c r="G89" s="5"/>
      <x:c r="H89" s="5"/>
      <x:c r="I89" s="5"/>
      <x:c r="J89" s="5"/>
      <x:c r="K89" s="5"/>
      <x:c r="L89" s="5"/>
      <x:c r="M89" s="3"/>
      <x:c r="N89" s="78"/>
    </x:row>
    <x:row r="90" ht="21" customHeight="1">
      <x:c r="A90" s="3"/>
      <x:c r="B90" s="3"/>
      <x:c r="C90" s="5"/>
      <x:c r="D90" s="5"/>
      <x:c r="E90" s="5"/>
      <x:c r="F90" s="5"/>
      <x:c r="G90" s="5"/>
      <x:c r="H90" s="5"/>
      <x:c r="I90" s="5"/>
      <x:c r="J90" s="5"/>
      <x:c r="K90" s="5"/>
      <x:c r="L90" s="5"/>
      <x:c r="M90" s="3"/>
      <x:c r="N90" s="78"/>
    </x:row>
    <x:row r="91" ht="21" customHeight="1">
      <x:c r="A91" s="3"/>
      <x:c r="B91" s="3"/>
      <x:c r="C91" s="5"/>
      <x:c r="D91" s="5"/>
      <x:c r="E91" s="5"/>
      <x:c r="F91" s="5"/>
      <x:c r="G91" s="5"/>
      <x:c r="H91" s="5"/>
      <x:c r="I91" s="5"/>
      <x:c r="J91" s="5"/>
      <x:c r="K91" s="5"/>
      <x:c r="L91" s="5"/>
      <x:c r="M91" s="3"/>
      <x:c r="N91" s="78"/>
    </x:row>
    <x:row r="92" ht="21" customHeight="1">
      <x:c r="A92" s="3"/>
      <x:c r="B92" s="3"/>
      <x:c r="C92" s="5"/>
      <x:c r="D92" s="5"/>
      <x:c r="E92" s="5"/>
      <x:c r="F92" s="5"/>
      <x:c r="G92" s="5"/>
      <x:c r="H92" s="5"/>
      <x:c r="I92" s="5"/>
      <x:c r="J92" s="5"/>
      <x:c r="K92" s="5"/>
      <x:c r="L92" s="5"/>
      <x:c r="M92" s="3"/>
      <x:c r="N92" s="78"/>
    </x:row>
    <x:row r="93" ht="21" customHeight="1">
      <x:c r="A93" s="3"/>
      <x:c r="B93" s="3"/>
      <x:c r="C93" s="5"/>
      <x:c r="D93" s="5"/>
      <x:c r="E93" s="5"/>
      <x:c r="F93" s="5"/>
      <x:c r="G93" s="5"/>
      <x:c r="H93" s="5"/>
      <x:c r="I93" s="5"/>
      <x:c r="J93" s="5"/>
      <x:c r="K93" s="5"/>
      <x:c r="L93" s="5"/>
      <x:c r="M93" s="3"/>
      <x:c r="N93" s="78"/>
    </x:row>
    <x:row r="94" ht="21" customHeight="1">
      <x:c r="A94" s="3"/>
      <x:c r="B94" s="3"/>
      <x:c r="C94" s="5"/>
      <x:c r="D94" s="5"/>
      <x:c r="E94" s="5"/>
      <x:c r="F94" s="5"/>
      <x:c r="G94" s="5"/>
      <x:c r="H94" s="5"/>
      <x:c r="I94" s="5"/>
      <x:c r="J94" s="5"/>
      <x:c r="K94" s="5"/>
      <x:c r="L94" s="5"/>
      <x:c r="M94" s="3"/>
      <x:c r="N94" s="78"/>
    </x:row>
    <x:row r="95" ht="21" customHeight="1">
      <x:c r="A95" s="3"/>
      <x:c r="B95" s="3"/>
      <x:c r="C95" s="5"/>
      <x:c r="D95" s="5"/>
      <x:c r="E95" s="5"/>
      <x:c r="F95" s="5"/>
      <x:c r="G95" s="5"/>
      <x:c r="H95" s="5"/>
      <x:c r="I95" s="5"/>
      <x:c r="J95" s="5"/>
      <x:c r="K95" s="5"/>
      <x:c r="L95" s="5"/>
      <x:c r="M95" s="3"/>
      <x:c r="N95" s="78"/>
    </x:row>
    <x:row r="96" ht="21" customHeight="1">
      <x:c r="A96" s="3"/>
      <x:c r="B96" s="3"/>
      <x:c r="C96" s="5"/>
      <x:c r="D96" s="5"/>
      <x:c r="E96" s="5"/>
      <x:c r="F96" s="5"/>
      <x:c r="G96" s="5"/>
      <x:c r="H96" s="5"/>
      <x:c r="I96" s="5"/>
      <x:c r="J96" s="5"/>
      <x:c r="K96" s="5"/>
      <x:c r="L96" s="5"/>
      <x:c r="M96" s="3"/>
      <x:c r="N96" s="78"/>
    </x:row>
    <x:row r="97" ht="21" customHeight="1">
      <x:c r="A97" s="3"/>
      <x:c r="B97" s="3"/>
      <x:c r="C97" s="5"/>
      <x:c r="D97" s="5"/>
      <x:c r="E97" s="5"/>
      <x:c r="F97" s="5"/>
      <x:c r="G97" s="5"/>
      <x:c r="H97" s="5"/>
      <x:c r="I97" s="5"/>
      <x:c r="J97" s="5"/>
      <x:c r="K97" s="5"/>
      <x:c r="L97" s="5"/>
      <x:c r="M97" s="3"/>
      <x:c r="N97" s="78"/>
    </x:row>
    <x:row r="98" ht="21" customHeight="1">
      <x:c r="A98" s="3"/>
      <x:c r="B98" s="3"/>
      <x:c r="C98" s="5"/>
      <x:c r="D98" s="5"/>
      <x:c r="E98" s="5"/>
      <x:c r="F98" s="5"/>
      <x:c r="G98" s="5"/>
      <x:c r="H98" s="5"/>
      <x:c r="I98" s="5"/>
      <x:c r="J98" s="5"/>
      <x:c r="K98" s="5"/>
      <x:c r="L98" s="5"/>
      <x:c r="M98" s="3"/>
      <x:c r="N98" s="78"/>
    </x:row>
    <x:row r="99" ht="21" customHeight="1">
      <x:c r="A99" s="3"/>
      <x:c r="B99" s="3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3"/>
      <x:c r="N99" s="78"/>
    </x:row>
    <x:row r="100" ht="21" customHeight="1">
      <x:c r="A100" s="3"/>
      <x:c r="B100" s="3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3"/>
      <x:c r="N100" s="78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4" hidden="0" customWidth="1"/>
    <x:col min="2" max="2" width="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3" hidden="0" customWidth="1"/>
    <x:col min="14" max="14" width="58" hidden="0" customWidth="1"/>
  </x:cols>
  <x:sheetData>
    <x:row r="1" ht="21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78"/>
    </x:row>
    <x:row r="2" ht="21" customHeight="1">
      <x:c r="A2" s="8" t="str">
        <x:v>Free Cash Flow to the Firm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78"/>
    </x:row>
    <x:row r="3" ht="21" customHeight="1">
      <x:c r="A3" s="6" t="str">
        <x:v>Consolidated. ₹ crore except per-share values.</x:v>
      </x:c>
      <x:c r="B3" s="3"/>
      <x:c r="C3" s="3"/>
      <x:c r="D3" s="3"/>
      <x:c r="E3" s="3"/>
      <x:c r="F3" s="3"/>
      <x:c r="G3" s="3"/>
      <x:c r="H3" s="6" t="str">
        <x:v>Selected case</x:v>
      </x:c>
      <x:c r="I3" s="3"/>
      <x:c r="J3" s="14" t="str">
        <x:f>'02_Assumptions'!E3</x:f>
        <x:v>Base</x:v>
      </x:c>
      <x:c r="K3" s="3"/>
      <x:c r="L3" s="3"/>
      <x:c r="M3" s="3"/>
      <x:c r="N3" s="78"/>
    </x:row>
    <x:row r="4" ht="21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78"/>
    </x:row>
    <x:row r="5" ht="24" customHeight="1">
      <x:c r="A5" s="12" t="str">
        <x:v>Line item</x:v>
      </x:c>
      <x:c r="B5" s="12"/>
      <x:c r="C5" s="12"/>
      <x:c r="D5" s="12"/>
      <x:c r="E5" s="12"/>
      <x:c r="F5" s="12"/>
      <x:c r="G5" s="12"/>
      <x:c r="H5" s="12" t="str">
        <x:v>FY2027E</x:v>
      </x:c>
      <x:c r="I5" s="12" t="str">
        <x:v>FY2028E</x:v>
      </x:c>
      <x:c r="J5" s="12" t="str">
        <x:v>FY2029E</x:v>
      </x:c>
      <x:c r="K5" s="12" t="str">
        <x:v>FY2030E</x:v>
      </x:c>
      <x:c r="L5" s="12" t="str">
        <x:v>FY2031E</x:v>
      </x:c>
      <x:c r="M5" s="3"/>
      <x:c r="N5" s="78"/>
    </x:row>
    <x:row r="6" ht="21" customHeight="1">
      <x:c r="A6" s="3"/>
      <x:c r="B6" s="3"/>
      <x:c r="C6" s="5"/>
      <x:c r="D6" s="5"/>
      <x:c r="E6" s="5"/>
      <x:c r="F6" s="5"/>
      <x:c r="G6" s="5"/>
      <x:c r="H6" s="5"/>
      <x:c r="I6" s="5"/>
      <x:c r="J6" s="5"/>
      <x:c r="K6" s="5"/>
      <x:c r="L6" s="5"/>
      <x:c r="M6" s="3"/>
      <x:c r="N6" s="78"/>
    </x:row>
    <x:row r="7" ht="21" customHeight="1">
      <x:c r="A7" s="3"/>
      <x:c r="B7" s="3"/>
      <x:c r="C7" s="5"/>
      <x:c r="D7" s="5"/>
      <x:c r="E7" s="5"/>
      <x:c r="F7" s="5"/>
      <x:c r="G7" s="5"/>
      <x:c r="H7" s="5"/>
      <x:c r="I7" s="5"/>
      <x:c r="J7" s="5"/>
      <x:c r="K7" s="5"/>
      <x:c r="L7" s="5"/>
      <x:c r="M7" s="3"/>
      <x:c r="N7" s="78"/>
    </x:row>
    <x:row r="8" ht="21" customHeight="1">
      <x:c r="A8" s="6" t="str">
        <x:v>Operating EBIT</x:v>
      </x:c>
      <x:c r="B8" s="3"/>
      <x:c r="C8" s="5"/>
      <x:c r="D8" s="5"/>
      <x:c r="E8" s="5"/>
      <x:c r="F8" s="5"/>
      <x:c r="G8" s="5"/>
      <x:c r="H8" s="13" t="n">
        <x:f>'03_Income_Statement'!H19</x:f>
        <x:v>384.90530800000016</x:v>
      </x:c>
      <x:c r="I8" s="13" t="n">
        <x:f>'03_Income_Statement'!I19</x:f>
        <x:v>434.02845201</x:v>
      </x:c>
      <x:c r="J8" s="13" t="n">
        <x:f>'03_Income_Statement'!J19</x:f>
        <x:v>490.82140737108</x:v>
      </x:c>
      <x:c r="K8" s="13" t="n">
        <x:f>'03_Income_Statement'!K19</x:f>
        <x:v>554.0937314629123</x:v>
      </x:c>
      <x:c r="L8" s="13" t="n">
        <x:f>'03_Income_Statement'!L19</x:f>
        <x:v>629.7333346503435</x:v>
      </x:c>
      <x:c r="M8" s="3"/>
      <x:c r="N8" s="79" t="str">
        <x:v>NOPAT = operating EBIT less tax. FCFF is before debt and</x:v>
      </x:c>
    </x:row>
    <x:row r="9" ht="21" customHeight="1">
      <x:c r="A9" s="6" t="str">
        <x:v>Tax on operating EBIT</x:v>
      </x:c>
      <x:c r="B9" s="3"/>
      <x:c r="C9" s="5"/>
      <x:c r="D9" s="5"/>
      <x:c r="E9" s="5"/>
      <x:c r="F9" s="5"/>
      <x:c r="G9" s="5"/>
      <x:c r="H9" s="13" t="n">
        <x:f>MAX(0,H8)*'02_Assumptions'!H74</x:f>
        <x:v>96.87296791744005</x:v>
      </x:c>
      <x:c r="I9" s="13" t="n">
        <x:f>MAX(0,I8)*'02_Assumptions'!I74</x:f>
        <x:v>109.23628080187682</x:v>
      </x:c>
      <x:c r="J9" s="13" t="n">
        <x:f>MAX(0,J8)*'02_Assumptions'!J74</x:f>
        <x:v>123.52993180715342</x:v>
      </x:c>
      <x:c r="K9" s="13" t="n">
        <x:f>MAX(0,K8)*'02_Assumptions'!K74</x:f>
        <x:v>139.45431033458576</x:v>
      </x:c>
      <x:c r="L9" s="13" t="n">
        <x:f>MAX(0,L8)*'02_Assumptions'!L74</x:f>
        <x:v>158.49128566479845</x:v>
      </x:c>
      <x:c r="M9" s="3"/>
      <x:c r="N9" s="79" t="str">
        <x:v>lease financing. New lease assets are treated as investment</x:v>
      </x:c>
    </x:row>
    <x:row r="10" ht="21" customHeight="1">
      <x:c r="A10" s="6" t="str">
        <x:v>NOPAT</x:v>
      </x:c>
      <x:c r="B10" s="3"/>
      <x:c r="C10" s="5"/>
      <x:c r="D10" s="5"/>
      <x:c r="E10" s="5"/>
      <x:c r="F10" s="5"/>
      <x:c r="G10" s="5"/>
      <x:c r="H10" s="5" t="n">
        <x:f>H8-H9</x:f>
        <x:v>288.0323400825601</x:v>
      </x:c>
      <x:c r="I10" s="5" t="n">
        <x:f>I8-I9</x:f>
        <x:v>324.7921712081232</x:v>
      </x:c>
      <x:c r="J10" s="5" t="n">
        <x:f>J8-J9</x:f>
        <x:v>367.2914755639266</x:v>
      </x:c>
      <x:c r="K10" s="5" t="n">
        <x:f>K8-K9</x:f>
        <x:v>414.6394211283265</x:v>
      </x:c>
      <x:c r="L10" s="5" t="n">
        <x:f>L8-L9</x:f>
        <x:v>471.24204898554507</x:v>
      </x:c>
      <x:c r="M10" s="3"/>
      <x:c r="N10" s="79" t="str">
        <x:v>because leases are included in the EV-to-equity bridge.</x:v>
      </x:c>
    </x:row>
    <x:row r="11" ht="21" customHeight="1">
      <x:c r="A11" s="6" t="str">
        <x:v>Depreciation and amortisation</x:v>
      </x:c>
      <x:c r="B11" s="3"/>
      <x:c r="C11" s="5"/>
      <x:c r="D11" s="5"/>
      <x:c r="E11" s="5"/>
      <x:c r="F11" s="5"/>
      <x:c r="G11" s="5"/>
      <x:c r="H11" s="13" t="n">
        <x:f>'03_Income_Statement'!H12</x:f>
        <x:v>121.18394999999998</x:v>
      </x:c>
      <x:c r="I11" s="13" t="n">
        <x:f>'03_Income_Statement'!I12</x:f>
        <x:v>140.8480395</x:v>
      </x:c>
      <x:c r="J11" s="13" t="n">
        <x:f>'03_Income_Statement'!J12</x:f>
        <x:v>156.99944381412</x:v>
      </x:c>
      <x:c r="K11" s="13" t="n">
        <x:f>'03_Income_Statement'!K12</x:f>
        <x:v>170.4190870038516</x:v>
      </x:c>
      <x:c r="L11" s="13" t="n">
        <x:f>'03_Income_Statement'!L12</x:f>
        <x:v>174.86291213795212</x:v>
      </x:c>
      <x:c r="M11" s="3"/>
      <x:c r="N11" s="78"/>
    </x:row>
    <x:row r="12" ht="21" customHeight="1">
      <x:c r="A12" s="6" t="str">
        <x:v>Cash capex</x:v>
      </x:c>
      <x:c r="B12" s="3"/>
      <x:c r="C12" s="5"/>
      <x:c r="D12" s="5"/>
      <x:c r="E12" s="5"/>
      <x:c r="F12" s="5"/>
      <x:c r="G12" s="5"/>
      <x:c r="H12" s="13" t="n">
        <x:f>'06_Schedules'!H23</x:f>
        <x:v>350</x:v>
      </x:c>
      <x:c r="I12" s="13" t="n">
        <x:f>'06_Schedules'!I23</x:f>
        <x:v>350</x:v>
      </x:c>
      <x:c r="J12" s="13" t="n">
        <x:f>'06_Schedules'!J23</x:f>
        <x:v>280.44192692</x:v>
      </x:c>
      <x:c r="K12" s="13" t="n">
        <x:f>'06_Schedules'!K23</x:f>
        <x:v>310.2838622984</x:v>
      </x:c>
      <x:c r="L12" s="13" t="n">
        <x:f>'06_Schedules'!L23</x:f>
        <x:v>340.93061304588804</x:v>
      </x:c>
      <x:c r="M12" s="3"/>
      <x:c r="N12" s="78"/>
    </x:row>
    <x:row r="13" ht="21" customHeight="1">
      <x:c r="A13" s="6" t="str">
        <x:v>Increase in working capital</x:v>
      </x:c>
      <x:c r="B13" s="3"/>
      <x:c r="C13" s="5"/>
      <x:c r="D13" s="5"/>
      <x:c r="E13" s="5"/>
      <x:c r="F13" s="5"/>
      <x:c r="G13" s="5"/>
      <x:c r="H13" s="13" t="n">
        <x:f>'06_Schedules'!H18</x:f>
        <x:v>78.50657000000001</x:v>
      </x:c>
      <x:c r="I13" s="13" t="n">
        <x:f>'06_Schedules'!I18</x:f>
        <x:v>80.19597939999983</x:v>
      </x:c>
      <x:c r="J13" s="13" t="n">
        <x:f>'06_Schedules'!J18</x:f>
        <x:v>83.67903866800009</x:v>
      </x:c>
      <x:c r="K13" s="13" t="n">
        <x:f>'06_Schedules'!K18</x:f>
        <x:v>86.54161259735986</x:v>
      </x:c>
      <x:c r="L13" s="13" t="n">
        <x:f>'06_Schedules'!L18</x:f>
        <x:v>88.87557716771528</x:v>
      </x:c>
      <x:c r="M13" s="3"/>
      <x:c r="N13" s="78"/>
    </x:row>
    <x:row r="14" ht="21" customHeight="1">
      <x:c r="A14" s="6" t="str">
        <x:v>New lease assets</x:v>
      </x:c>
      <x:c r="B14" s="3"/>
      <x:c r="C14" s="5"/>
      <x:c r="D14" s="5"/>
      <x:c r="E14" s="5"/>
      <x:c r="F14" s="5"/>
      <x:c r="G14" s="5"/>
      <x:c r="H14" s="13" t="n">
        <x:f>'06_Schedules'!H39</x:f>
        <x:v>8</x:v>
      </x:c>
      <x:c r="I14" s="13" t="n">
        <x:f>'06_Schedules'!I39</x:f>
        <x:v>8</x:v>
      </x:c>
      <x:c r="J14" s="13" t="n">
        <x:f>'06_Schedules'!J39</x:f>
        <x:v>8</x:v>
      </x:c>
      <x:c r="K14" s="13" t="n">
        <x:f>'06_Schedules'!K39</x:f>
        <x:v>8</x:v>
      </x:c>
      <x:c r="L14" s="13" t="n">
        <x:f>'06_Schedules'!L39</x:f>
        <x:v>8</x:v>
      </x:c>
      <x:c r="M14" s="3"/>
      <x:c r="N14" s="78"/>
    </x:row>
    <x:row r="15" ht="21" customHeight="1">
      <x:c r="A15" s="6" t="str">
        <x:v>Increase in required operating cash</x:v>
      </x:c>
      <x:c r="B15" s="3"/>
      <x:c r="C15" s="5"/>
      <x:c r="D15" s="5"/>
      <x:c r="E15" s="5"/>
      <x:c r="F15" s="5"/>
      <x:c r="G15" s="5"/>
      <x:c r="H15" s="13" t="n">
        <x:f>('03_Income_Statement'!H8-'03_Income_Statement'!G8)*'02_Assumptions'!$H$82</x:f>
        <x:v>8.757320000000018</x:v>
      </x:c>
      <x:c r="I15" s="13" t="n">
        <x:f>('03_Income_Statement'!I8-'03_Income_Statement'!H8)*'02_Assumptions'!$H$82</x:f>
        <x:v>11.061514399999979</x:v>
      </x:c>
      <x:c r="J15" s="13" t="n">
        <x:f>('03_Income_Statement'!J8-'03_Income_Statement'!I8)*'02_Assumptions'!$H$82</x:f>
        <x:v>11.541936368000007</x:v>
      </x:c>
      <x:c r="K15" s="13" t="n">
        <x:f>('03_Income_Statement'!K8-'03_Income_Statement'!J8)*'02_Assumptions'!$H$82</x:f>
        <x:v>11.936774151359987</x:v>
      </x:c>
      <x:c r="L15" s="13" t="n">
        <x:f>('03_Income_Statement'!L8-'03_Income_Statement'!K8)*'02_Assumptions'!$H$82</x:f>
        <x:v>12.258700298995208</x:v>
      </x:c>
      <x:c r="M15" s="3"/>
      <x:c r="N15" s="78"/>
    </x:row>
    <x:row r="16" ht="21" customHeight="1">
      <x:c r="A16" s="41" t="str">
        <x:v>Free cash flow to the firm</x:v>
      </x:c>
      <x:c r="B16" s="51"/>
      <x:c r="C16" s="52"/>
      <x:c r="D16" s="52"/>
      <x:c r="E16" s="52"/>
      <x:c r="F16" s="52"/>
      <x:c r="G16" s="52"/>
      <x:c r="H16" s="52" t="n">
        <x:f>H10+H11-SUM(H12:H15)</x:f>
        <x:v>-36.047599917439925</x:v>
      </x:c>
      <x:c r="I16" s="52" t="n">
        <x:f>I10+I11-SUM(I12:I15)</x:f>
        <x:v>16.38271690812337</x:v>
      </x:c>
      <x:c r="J16" s="52" t="n">
        <x:f>J10+J11-SUM(J12:J15)</x:f>
        <x:v>140.62801742204653</x:v>
      </x:c>
      <x:c r="K16" s="52" t="n">
        <x:f>K10+K11-SUM(K12:K15)</x:f>
        <x:v>168.29625908505824</x:v>
      </x:c>
      <x:c r="L16" s="52" t="n">
        <x:f>L10+L11-SUM(L12:L15)</x:f>
        <x:v>196.04007061089868</x:v>
      </x:c>
      <x:c r="M16" s="3"/>
      <x:c r="N16" s="78"/>
    </x:row>
    <x:row r="17" ht="21" customHeight="1">
      <x:c r="A17" s="3"/>
      <x:c r="B17" s="3"/>
      <x:c r="C17" s="5"/>
      <x:c r="D17" s="5"/>
      <x:c r="E17" s="5"/>
      <x:c r="F17" s="5"/>
      <x:c r="G17" s="5"/>
      <x:c r="H17" s="5"/>
      <x:c r="I17" s="5"/>
      <x:c r="J17" s="5"/>
      <x:c r="K17" s="5"/>
      <x:c r="L17" s="5"/>
      <x:c r="M17" s="3"/>
      <x:c r="N17" s="78"/>
    </x:row>
    <x:row r="18" ht="21" customHeight="1">
      <x:c r="A18" s="3"/>
      <x:c r="B18" s="3"/>
      <x:c r="C18" s="5"/>
      <x:c r="D18" s="5"/>
      <x:c r="E18" s="5"/>
      <x:c r="F18" s="5"/>
      <x:c r="G18" s="5"/>
      <x:c r="H18" s="5"/>
      <x:c r="I18" s="5"/>
      <x:c r="J18" s="5"/>
      <x:c r="K18" s="5"/>
      <x:c r="L18" s="5"/>
      <x:c r="M18" s="3"/>
      <x:c r="N18" s="78"/>
    </x:row>
    <x:row r="19" ht="21" customHeight="1">
      <x:c r="A19" s="3"/>
      <x:c r="B19" s="3"/>
      <x:c r="C19" s="5"/>
      <x:c r="D19" s="5"/>
      <x:c r="E19" s="5"/>
      <x:c r="F19" s="5"/>
      <x:c r="G19" s="5"/>
      <x:c r="H19" s="5"/>
      <x:c r="I19" s="5"/>
      <x:c r="J19" s="5"/>
      <x:c r="K19" s="5"/>
      <x:c r="L19" s="5"/>
      <x:c r="M19" s="3"/>
      <x:c r="N19" s="78"/>
    </x:row>
    <x:row r="20" ht="21" customHeight="1">
      <x:c r="A20" s="3"/>
      <x:c r="B20" s="3"/>
      <x:c r="C20" s="5"/>
      <x:c r="D20" s="5"/>
      <x:c r="E20" s="5"/>
      <x:c r="F20" s="5"/>
      <x:c r="G20" s="5"/>
      <x:c r="H20" s="5"/>
      <x:c r="I20" s="5"/>
      <x:c r="J20" s="5"/>
      <x:c r="K20" s="5"/>
      <x:c r="L20" s="5"/>
      <x:c r="M20" s="3"/>
      <x:c r="N20" s="78"/>
    </x:row>
    <x:row r="21" ht="21" customHeight="1">
      <x:c r="A21" s="3"/>
      <x:c r="B21" s="3"/>
      <x:c r="C21" s="5"/>
      <x:c r="D21" s="5"/>
      <x:c r="E21" s="5"/>
      <x:c r="F21" s="5"/>
      <x:c r="G21" s="5"/>
      <x:c r="H21" s="5"/>
      <x:c r="I21" s="5"/>
      <x:c r="J21" s="5"/>
      <x:c r="K21" s="5"/>
      <x:c r="L21" s="5"/>
      <x:c r="M21" s="3"/>
      <x:c r="N21" s="78"/>
    </x:row>
    <x:row r="22" ht="21" customHeight="1">
      <x:c r="A22" s="3"/>
      <x:c r="B22" s="3"/>
      <x:c r="C22" s="5"/>
      <x:c r="D22" s="5"/>
      <x:c r="E22" s="5"/>
      <x:c r="F22" s="5"/>
      <x:c r="G22" s="5"/>
      <x:c r="H22" s="5"/>
      <x:c r="I22" s="5"/>
      <x:c r="J22" s="5"/>
      <x:c r="K22" s="5"/>
      <x:c r="L22" s="5"/>
      <x:c r="M22" s="3"/>
      <x:c r="N22" s="78"/>
    </x:row>
    <x:row r="23" ht="21" customHeight="1">
      <x:c r="A23" s="3"/>
      <x:c r="B23" s="3"/>
      <x:c r="C23" s="5"/>
      <x:c r="D23" s="5"/>
      <x:c r="E23" s="5"/>
      <x:c r="F23" s="5"/>
      <x:c r="G23" s="5"/>
      <x:c r="H23" s="5"/>
      <x:c r="I23" s="5"/>
      <x:c r="J23" s="5"/>
      <x:c r="K23" s="5"/>
      <x:c r="L23" s="5"/>
      <x:c r="M23" s="3"/>
      <x:c r="N23" s="78"/>
    </x:row>
    <x:row r="24" ht="21" customHeight="1">
      <x:c r="A24" s="3"/>
      <x:c r="B24" s="3"/>
      <x:c r="C24" s="5"/>
      <x:c r="D24" s="5"/>
      <x:c r="E24" s="5"/>
      <x:c r="F24" s="5"/>
      <x:c r="G24" s="5"/>
      <x:c r="H24" s="5"/>
      <x:c r="I24" s="5"/>
      <x:c r="J24" s="5"/>
      <x:c r="K24" s="5"/>
      <x:c r="L24" s="5"/>
      <x:c r="M24" s="3"/>
      <x:c r="N24" s="78"/>
    </x:row>
    <x:row r="25" ht="21" customHeight="1">
      <x:c r="A25" s="3"/>
      <x:c r="B25" s="3"/>
      <x:c r="C25" s="5"/>
      <x:c r="D25" s="5"/>
      <x:c r="E25" s="5"/>
      <x:c r="F25" s="5"/>
      <x:c r="G25" s="5"/>
      <x:c r="H25" s="5"/>
      <x:c r="I25" s="5"/>
      <x:c r="J25" s="5"/>
      <x:c r="K25" s="5"/>
      <x:c r="L25" s="5"/>
      <x:c r="M25" s="3"/>
      <x:c r="N25" s="78"/>
    </x:row>
    <x:row r="26" ht="21" customHeight="1">
      <x:c r="A26" s="3"/>
      <x:c r="B26" s="3"/>
      <x:c r="C26" s="5"/>
      <x:c r="D26" s="5"/>
      <x:c r="E26" s="5"/>
      <x:c r="F26" s="5"/>
      <x:c r="G26" s="5"/>
      <x:c r="H26" s="5"/>
      <x:c r="I26" s="5"/>
      <x:c r="J26" s="5"/>
      <x:c r="K26" s="5"/>
      <x:c r="L26" s="5"/>
      <x:c r="M26" s="3"/>
      <x:c r="N26" s="78"/>
    </x:row>
    <x:row r="27" ht="21" customHeight="1">
      <x:c r="A27" s="3"/>
      <x:c r="B27" s="3"/>
      <x:c r="C27" s="5"/>
      <x:c r="D27" s="5"/>
      <x:c r="E27" s="5"/>
      <x:c r="F27" s="5"/>
      <x:c r="G27" s="5"/>
      <x:c r="H27" s="5"/>
      <x:c r="I27" s="5"/>
      <x:c r="J27" s="5"/>
      <x:c r="K27" s="5"/>
      <x:c r="L27" s="5"/>
      <x:c r="M27" s="3"/>
      <x:c r="N27" s="78"/>
    </x:row>
    <x:row r="28" ht="21" customHeight="1">
      <x:c r="A28" s="3"/>
      <x:c r="B28" s="3"/>
      <x:c r="C28" s="5"/>
      <x:c r="D28" s="5"/>
      <x:c r="E28" s="5"/>
      <x:c r="F28" s="5"/>
      <x:c r="G28" s="5"/>
      <x:c r="H28" s="5"/>
      <x:c r="I28" s="5"/>
      <x:c r="J28" s="5"/>
      <x:c r="K28" s="5"/>
      <x:c r="L28" s="5"/>
      <x:c r="M28" s="3"/>
      <x:c r="N28" s="78"/>
    </x:row>
    <x:row r="29" ht="21" customHeight="1">
      <x:c r="A29" s="3"/>
      <x:c r="B29" s="3"/>
      <x:c r="C29" s="5"/>
      <x:c r="D29" s="5"/>
      <x:c r="E29" s="5"/>
      <x:c r="F29" s="5"/>
      <x:c r="G29" s="5"/>
      <x:c r="H29" s="5"/>
      <x:c r="I29" s="5"/>
      <x:c r="J29" s="5"/>
      <x:c r="K29" s="5"/>
      <x:c r="L29" s="5"/>
      <x:c r="M29" s="3"/>
      <x:c r="N29" s="78"/>
    </x:row>
    <x:row r="30" ht="21" customHeight="1">
      <x:c r="A30" s="3"/>
      <x:c r="B30" s="3"/>
      <x:c r="C30" s="5"/>
      <x:c r="D30" s="5"/>
      <x:c r="E30" s="5"/>
      <x:c r="F30" s="5"/>
      <x:c r="G30" s="5"/>
      <x:c r="H30" s="5"/>
      <x:c r="I30" s="5"/>
      <x:c r="J30" s="5"/>
      <x:c r="K30" s="5"/>
      <x:c r="L30" s="5"/>
      <x:c r="M30" s="3"/>
      <x:c r="N30" s="78"/>
    </x:row>
    <x:row r="31" ht="21" customHeight="1">
      <x:c r="A31" s="3"/>
      <x:c r="B31" s="3"/>
      <x:c r="C31" s="5"/>
      <x:c r="D31" s="5"/>
      <x:c r="E31" s="5"/>
      <x:c r="F31" s="5"/>
      <x:c r="G31" s="5"/>
      <x:c r="H31" s="5"/>
      <x:c r="I31" s="5"/>
      <x:c r="J31" s="5"/>
      <x:c r="K31" s="5"/>
      <x:c r="L31" s="5"/>
      <x:c r="M31" s="3"/>
      <x:c r="N31" s="78"/>
    </x:row>
    <x:row r="32" ht="21" customHeight="1">
      <x:c r="A32" s="3"/>
      <x:c r="B32" s="3"/>
      <x:c r="C32" s="5"/>
      <x:c r="D32" s="5"/>
      <x:c r="E32" s="5"/>
      <x:c r="F32" s="5"/>
      <x:c r="G32" s="5"/>
      <x:c r="H32" s="5"/>
      <x:c r="I32" s="5"/>
      <x:c r="J32" s="5"/>
      <x:c r="K32" s="5"/>
      <x:c r="L32" s="5"/>
      <x:c r="M32" s="3"/>
      <x:c r="N32" s="78"/>
    </x:row>
    <x:row r="33" ht="21" customHeight="1">
      <x:c r="A33" s="3"/>
      <x:c r="B33" s="3"/>
      <x:c r="C33" s="5"/>
      <x:c r="D33" s="5"/>
      <x:c r="E33" s="5"/>
      <x:c r="F33" s="5"/>
      <x:c r="G33" s="5"/>
      <x:c r="H33" s="5"/>
      <x:c r="I33" s="5"/>
      <x:c r="J33" s="5"/>
      <x:c r="K33" s="5"/>
      <x:c r="L33" s="5"/>
      <x:c r="M33" s="3"/>
      <x:c r="N33" s="78"/>
    </x:row>
    <x:row r="34" ht="21" customHeight="1">
      <x:c r="A34" s="3"/>
      <x:c r="B34" s="3"/>
      <x:c r="C34" s="5"/>
      <x:c r="D34" s="5"/>
      <x:c r="E34" s="5"/>
      <x:c r="F34" s="5"/>
      <x:c r="G34" s="5"/>
      <x:c r="H34" s="5"/>
      <x:c r="I34" s="5"/>
      <x:c r="J34" s="5"/>
      <x:c r="K34" s="5"/>
      <x:c r="L34" s="5"/>
      <x:c r="M34" s="3"/>
      <x:c r="N34" s="78"/>
    </x:row>
    <x:row r="35" ht="21" customHeight="1">
      <x:c r="A35" s="3"/>
      <x:c r="B35" s="3"/>
      <x:c r="C35" s="5"/>
      <x:c r="D35" s="5"/>
      <x:c r="E35" s="5"/>
      <x:c r="F35" s="5"/>
      <x:c r="G35" s="5"/>
      <x:c r="H35" s="5"/>
      <x:c r="I35" s="5"/>
      <x:c r="J35" s="5"/>
      <x:c r="K35" s="5"/>
      <x:c r="L35" s="5"/>
      <x:c r="M35" s="3"/>
      <x:c r="N35" s="78"/>
    </x:row>
    <x:row r="36" ht="21" customHeight="1">
      <x:c r="A36" s="3"/>
      <x:c r="B36" s="3"/>
      <x:c r="C36" s="5"/>
      <x:c r="D36" s="5"/>
      <x:c r="E36" s="5"/>
      <x:c r="F36" s="5"/>
      <x:c r="G36" s="5"/>
      <x:c r="H36" s="5"/>
      <x:c r="I36" s="5"/>
      <x:c r="J36" s="5"/>
      <x:c r="K36" s="5"/>
      <x:c r="L36" s="5"/>
      <x:c r="M36" s="3"/>
      <x:c r="N36" s="78"/>
    </x:row>
    <x:row r="37" ht="21" customHeight="1">
      <x:c r="A37" s="3"/>
      <x:c r="B37" s="3"/>
      <x:c r="C37" s="5"/>
      <x:c r="D37" s="5"/>
      <x:c r="E37" s="5"/>
      <x:c r="F37" s="5"/>
      <x:c r="G37" s="5"/>
      <x:c r="H37" s="5"/>
      <x:c r="I37" s="5"/>
      <x:c r="J37" s="5"/>
      <x:c r="K37" s="5"/>
      <x:c r="L37" s="5"/>
      <x:c r="M37" s="3"/>
      <x:c r="N37" s="78"/>
    </x:row>
    <x:row r="38" ht="21" customHeight="1">
      <x:c r="A38" s="3"/>
      <x:c r="B38" s="3"/>
      <x:c r="C38" s="5"/>
      <x:c r="D38" s="5"/>
      <x:c r="E38" s="5"/>
      <x:c r="F38" s="5"/>
      <x:c r="G38" s="5"/>
      <x:c r="H38" s="5"/>
      <x:c r="I38" s="5"/>
      <x:c r="J38" s="5"/>
      <x:c r="K38" s="5"/>
      <x:c r="L38" s="5"/>
      <x:c r="M38" s="3"/>
      <x:c r="N38" s="78"/>
    </x:row>
    <x:row r="39" ht="21" customHeight="1">
      <x:c r="A39" s="3"/>
      <x:c r="B39" s="3"/>
      <x:c r="C39" s="5"/>
      <x:c r="D39" s="5"/>
      <x:c r="E39" s="5"/>
      <x:c r="F39" s="5"/>
      <x:c r="G39" s="5"/>
      <x:c r="H39" s="5"/>
      <x:c r="I39" s="5"/>
      <x:c r="J39" s="5"/>
      <x:c r="K39" s="5"/>
      <x:c r="L39" s="5"/>
      <x:c r="M39" s="3"/>
      <x:c r="N39" s="78"/>
    </x:row>
    <x:row r="40" ht="21" customHeight="1">
      <x:c r="A40" s="3"/>
      <x:c r="B40" s="3"/>
      <x:c r="C40" s="5"/>
      <x:c r="D40" s="5"/>
      <x:c r="E40" s="5"/>
      <x:c r="F40" s="5"/>
      <x:c r="G40" s="5"/>
      <x:c r="H40" s="5"/>
      <x:c r="I40" s="5"/>
      <x:c r="J40" s="5"/>
      <x:c r="K40" s="5"/>
      <x:c r="L40" s="5"/>
      <x:c r="M40" s="3"/>
      <x:c r="N40" s="78"/>
    </x:row>
    <x:row r="41" ht="21" customHeight="1">
      <x:c r="A41" s="3"/>
      <x:c r="B41" s="3"/>
      <x:c r="C41" s="5"/>
      <x:c r="D41" s="5"/>
      <x:c r="E41" s="5"/>
      <x:c r="F41" s="5"/>
      <x:c r="G41" s="5"/>
      <x:c r="H41" s="5"/>
      <x:c r="I41" s="5"/>
      <x:c r="J41" s="5"/>
      <x:c r="K41" s="5"/>
      <x:c r="L41" s="5"/>
      <x:c r="M41" s="3"/>
      <x:c r="N41" s="78"/>
    </x:row>
    <x:row r="42" ht="21" customHeight="1">
      <x:c r="A42" s="3"/>
      <x:c r="B42" s="3"/>
      <x:c r="C42" s="5"/>
      <x:c r="D42" s="5"/>
      <x:c r="E42" s="5"/>
      <x:c r="F42" s="5"/>
      <x:c r="G42" s="5"/>
      <x:c r="H42" s="5"/>
      <x:c r="I42" s="5"/>
      <x:c r="J42" s="5"/>
      <x:c r="K42" s="5"/>
      <x:c r="L42" s="5"/>
      <x:c r="M42" s="3"/>
      <x:c r="N42" s="78"/>
    </x:row>
    <x:row r="43" ht="21" customHeight="1">
      <x:c r="A43" s="3"/>
      <x:c r="B43" s="3"/>
      <x:c r="C43" s="5"/>
      <x:c r="D43" s="5"/>
      <x:c r="E43" s="5"/>
      <x:c r="F43" s="5"/>
      <x:c r="G43" s="5"/>
      <x:c r="H43" s="5"/>
      <x:c r="I43" s="5"/>
      <x:c r="J43" s="5"/>
      <x:c r="K43" s="5"/>
      <x:c r="L43" s="5"/>
      <x:c r="M43" s="3"/>
      <x:c r="N43" s="78"/>
    </x:row>
    <x:row r="44" ht="21" customHeight="1">
      <x:c r="A44" s="3"/>
      <x:c r="B44" s="3"/>
      <x:c r="C44" s="5"/>
      <x:c r="D44" s="5"/>
      <x:c r="E44" s="5"/>
      <x:c r="F44" s="5"/>
      <x:c r="G44" s="5"/>
      <x:c r="H44" s="5"/>
      <x:c r="I44" s="5"/>
      <x:c r="J44" s="5"/>
      <x:c r="K44" s="5"/>
      <x:c r="L44" s="5"/>
      <x:c r="M44" s="3"/>
      <x:c r="N44" s="78"/>
    </x:row>
    <x:row r="45" ht="21" customHeight="1">
      <x:c r="A45" s="3"/>
      <x:c r="B45" s="3"/>
      <x:c r="C45" s="5"/>
      <x:c r="D45" s="5"/>
      <x:c r="E45" s="5"/>
      <x:c r="F45" s="5"/>
      <x:c r="G45" s="5"/>
      <x:c r="H45" s="5"/>
      <x:c r="I45" s="5"/>
      <x:c r="J45" s="5"/>
      <x:c r="K45" s="5"/>
      <x:c r="L45" s="5"/>
      <x:c r="M45" s="3"/>
      <x:c r="N45" s="78"/>
    </x:row>
    <x:row r="46" ht="21" customHeight="1">
      <x:c r="A46" s="3"/>
      <x:c r="B46" s="3"/>
      <x:c r="C46" s="5"/>
      <x:c r="D46" s="5"/>
      <x:c r="E46" s="5"/>
      <x:c r="F46" s="5"/>
      <x:c r="G46" s="5"/>
      <x:c r="H46" s="5"/>
      <x:c r="I46" s="5"/>
      <x:c r="J46" s="5"/>
      <x:c r="K46" s="5"/>
      <x:c r="L46" s="5"/>
      <x:c r="M46" s="3"/>
      <x:c r="N46" s="78"/>
    </x:row>
    <x:row r="47" ht="21" customHeight="1">
      <x:c r="A47" s="3"/>
      <x:c r="B47" s="3"/>
      <x:c r="C47" s="5"/>
      <x:c r="D47" s="5"/>
      <x:c r="E47" s="5"/>
      <x:c r="F47" s="5"/>
      <x:c r="G47" s="5"/>
      <x:c r="H47" s="5"/>
      <x:c r="I47" s="5"/>
      <x:c r="J47" s="5"/>
      <x:c r="K47" s="5"/>
      <x:c r="L47" s="5"/>
      <x:c r="M47" s="3"/>
      <x:c r="N47" s="78"/>
    </x:row>
    <x:row r="48" ht="21" customHeight="1">
      <x:c r="A48" s="3"/>
      <x:c r="B48" s="3"/>
      <x:c r="C48" s="5"/>
      <x:c r="D48" s="5"/>
      <x:c r="E48" s="5"/>
      <x:c r="F48" s="5"/>
      <x:c r="G48" s="5"/>
      <x:c r="H48" s="5"/>
      <x:c r="I48" s="5"/>
      <x:c r="J48" s="5"/>
      <x:c r="K48" s="5"/>
      <x:c r="L48" s="5"/>
      <x:c r="M48" s="3"/>
      <x:c r="N48" s="78"/>
    </x:row>
    <x:row r="49" ht="21" customHeight="1">
      <x:c r="A49" s="3"/>
      <x:c r="B49" s="3"/>
      <x:c r="C49" s="5"/>
      <x:c r="D49" s="5"/>
      <x:c r="E49" s="5"/>
      <x:c r="F49" s="5"/>
      <x:c r="G49" s="5"/>
      <x:c r="H49" s="5"/>
      <x:c r="I49" s="5"/>
      <x:c r="J49" s="5"/>
      <x:c r="K49" s="5"/>
      <x:c r="L49" s="5"/>
      <x:c r="M49" s="3"/>
      <x:c r="N49" s="78"/>
    </x:row>
    <x:row r="50" ht="21" customHeight="1">
      <x:c r="A50" s="3"/>
      <x:c r="B50" s="3"/>
      <x:c r="C50" s="5"/>
      <x:c r="D50" s="5"/>
      <x:c r="E50" s="5"/>
      <x:c r="F50" s="5"/>
      <x:c r="G50" s="5"/>
      <x:c r="H50" s="5"/>
      <x:c r="I50" s="5"/>
      <x:c r="J50" s="5"/>
      <x:c r="K50" s="5"/>
      <x:c r="L50" s="5"/>
      <x:c r="M50" s="3"/>
      <x:c r="N50" s="78"/>
    </x:row>
    <x:row r="51" ht="21" customHeight="1">
      <x:c r="A51" s="3"/>
      <x:c r="B51" s="3"/>
      <x:c r="C51" s="5"/>
      <x:c r="D51" s="5"/>
      <x:c r="E51" s="5"/>
      <x:c r="F51" s="5"/>
      <x:c r="G51" s="5"/>
      <x:c r="H51" s="5"/>
      <x:c r="I51" s="5"/>
      <x:c r="J51" s="5"/>
      <x:c r="K51" s="5"/>
      <x:c r="L51" s="5"/>
      <x:c r="M51" s="3"/>
      <x:c r="N51" s="78"/>
    </x:row>
    <x:row r="52" ht="21" customHeight="1">
      <x:c r="A52" s="3"/>
      <x:c r="B52" s="3"/>
      <x:c r="C52" s="5"/>
      <x:c r="D52" s="5"/>
      <x:c r="E52" s="5"/>
      <x:c r="F52" s="5"/>
      <x:c r="G52" s="5"/>
      <x:c r="H52" s="5"/>
      <x:c r="I52" s="5"/>
      <x:c r="J52" s="5"/>
      <x:c r="K52" s="5"/>
      <x:c r="L52" s="5"/>
      <x:c r="M52" s="3"/>
      <x:c r="N52" s="78"/>
    </x:row>
    <x:row r="53" ht="21" customHeight="1">
      <x:c r="A53" s="3"/>
      <x:c r="B53" s="3"/>
      <x:c r="C53" s="5"/>
      <x:c r="D53" s="5"/>
      <x:c r="E53" s="5"/>
      <x:c r="F53" s="5"/>
      <x:c r="G53" s="5"/>
      <x:c r="H53" s="5"/>
      <x:c r="I53" s="5"/>
      <x:c r="J53" s="5"/>
      <x:c r="K53" s="5"/>
      <x:c r="L53" s="5"/>
      <x:c r="M53" s="3"/>
      <x:c r="N53" s="78"/>
    </x:row>
    <x:row r="54" ht="21" customHeight="1">
      <x:c r="A54" s="3"/>
      <x:c r="B54" s="3"/>
      <x:c r="C54" s="5"/>
      <x:c r="D54" s="5"/>
      <x:c r="E54" s="5"/>
      <x:c r="F54" s="5"/>
      <x:c r="G54" s="5"/>
      <x:c r="H54" s="5"/>
      <x:c r="I54" s="5"/>
      <x:c r="J54" s="5"/>
      <x:c r="K54" s="5"/>
      <x:c r="L54" s="5"/>
      <x:c r="M54" s="3"/>
      <x:c r="N54" s="78"/>
    </x:row>
    <x:row r="55" ht="21" customHeight="1">
      <x:c r="A55" s="3"/>
      <x:c r="B55" s="3"/>
      <x:c r="C55" s="5"/>
      <x:c r="D55" s="5"/>
      <x:c r="E55" s="5"/>
      <x:c r="F55" s="5"/>
      <x:c r="G55" s="5"/>
      <x:c r="H55" s="5"/>
      <x:c r="I55" s="5"/>
      <x:c r="J55" s="5"/>
      <x:c r="K55" s="5"/>
      <x:c r="L55" s="5"/>
      <x:c r="M55" s="3"/>
      <x:c r="N55" s="78"/>
    </x:row>
    <x:row r="56" ht="21" customHeight="1">
      <x:c r="A56" s="3"/>
      <x:c r="B56" s="3"/>
      <x:c r="C56" s="5"/>
      <x:c r="D56" s="5"/>
      <x:c r="E56" s="5"/>
      <x:c r="F56" s="5"/>
      <x:c r="G56" s="5"/>
      <x:c r="H56" s="5"/>
      <x:c r="I56" s="5"/>
      <x:c r="J56" s="5"/>
      <x:c r="K56" s="5"/>
      <x:c r="L56" s="5"/>
      <x:c r="M56" s="3"/>
      <x:c r="N56" s="78"/>
    </x:row>
    <x:row r="57" ht="21" customHeight="1">
      <x:c r="A57" s="3"/>
      <x:c r="B57" s="3"/>
      <x:c r="C57" s="5"/>
      <x:c r="D57" s="5"/>
      <x:c r="E57" s="5"/>
      <x:c r="F57" s="5"/>
      <x:c r="G57" s="5"/>
      <x:c r="H57" s="5"/>
      <x:c r="I57" s="5"/>
      <x:c r="J57" s="5"/>
      <x:c r="K57" s="5"/>
      <x:c r="L57" s="5"/>
      <x:c r="M57" s="3"/>
      <x:c r="N57" s="78"/>
    </x:row>
    <x:row r="58" ht="21" customHeight="1">
      <x:c r="A58" s="3"/>
      <x:c r="B58" s="3"/>
      <x:c r="C58" s="5"/>
      <x:c r="D58" s="5"/>
      <x:c r="E58" s="5"/>
      <x:c r="F58" s="5"/>
      <x:c r="G58" s="5"/>
      <x:c r="H58" s="5"/>
      <x:c r="I58" s="5"/>
      <x:c r="J58" s="5"/>
      <x:c r="K58" s="5"/>
      <x:c r="L58" s="5"/>
      <x:c r="M58" s="3"/>
      <x:c r="N58" s="78"/>
    </x:row>
    <x:row r="59" ht="21" customHeight="1">
      <x:c r="A59" s="3"/>
      <x:c r="B59" s="3"/>
      <x:c r="C59" s="5"/>
      <x:c r="D59" s="5"/>
      <x:c r="E59" s="5"/>
      <x:c r="F59" s="5"/>
      <x:c r="G59" s="5"/>
      <x:c r="H59" s="5"/>
      <x:c r="I59" s="5"/>
      <x:c r="J59" s="5"/>
      <x:c r="K59" s="5"/>
      <x:c r="L59" s="5"/>
      <x:c r="M59" s="3"/>
      <x:c r="N59" s="78"/>
    </x:row>
    <x:row r="60" ht="21" customHeight="1">
      <x:c r="A60" s="3"/>
      <x:c r="B60" s="3"/>
      <x:c r="C60" s="5"/>
      <x:c r="D60" s="5"/>
      <x:c r="E60" s="5"/>
      <x:c r="F60" s="5"/>
      <x:c r="G60" s="5"/>
      <x:c r="H60" s="5"/>
      <x:c r="I60" s="5"/>
      <x:c r="J60" s="5"/>
      <x:c r="K60" s="5"/>
      <x:c r="L60" s="5"/>
      <x:c r="M60" s="3"/>
      <x:c r="N60" s="78"/>
    </x:row>
    <x:row r="61" ht="21" customHeight="1">
      <x:c r="A61" s="3"/>
      <x:c r="B61" s="3"/>
      <x:c r="C61" s="5"/>
      <x:c r="D61" s="5"/>
      <x:c r="E61" s="5"/>
      <x:c r="F61" s="5"/>
      <x:c r="G61" s="5"/>
      <x:c r="H61" s="5"/>
      <x:c r="I61" s="5"/>
      <x:c r="J61" s="5"/>
      <x:c r="K61" s="5"/>
      <x:c r="L61" s="5"/>
      <x:c r="M61" s="3"/>
      <x:c r="N61" s="78"/>
    </x:row>
    <x:row r="62" ht="21" customHeight="1">
      <x:c r="A62" s="3"/>
      <x:c r="B62" s="3"/>
      <x:c r="C62" s="5"/>
      <x:c r="D62" s="5"/>
      <x:c r="E62" s="5"/>
      <x:c r="F62" s="5"/>
      <x:c r="G62" s="5"/>
      <x:c r="H62" s="5"/>
      <x:c r="I62" s="5"/>
      <x:c r="J62" s="5"/>
      <x:c r="K62" s="5"/>
      <x:c r="L62" s="5"/>
      <x:c r="M62" s="3"/>
      <x:c r="N62" s="78"/>
    </x:row>
    <x:row r="63" ht="21" customHeight="1">
      <x:c r="A63" s="3"/>
      <x:c r="B63" s="3"/>
      <x:c r="C63" s="5"/>
      <x:c r="D63" s="5"/>
      <x:c r="E63" s="5"/>
      <x:c r="F63" s="5"/>
      <x:c r="G63" s="5"/>
      <x:c r="H63" s="5"/>
      <x:c r="I63" s="5"/>
      <x:c r="J63" s="5"/>
      <x:c r="K63" s="5"/>
      <x:c r="L63" s="5"/>
      <x:c r="M63" s="3"/>
      <x:c r="N63" s="78"/>
    </x:row>
    <x:row r="64" ht="21" customHeight="1">
      <x:c r="A64" s="3"/>
      <x:c r="B64" s="3"/>
      <x:c r="C64" s="5"/>
      <x:c r="D64" s="5"/>
      <x:c r="E64" s="5"/>
      <x:c r="F64" s="5"/>
      <x:c r="G64" s="5"/>
      <x:c r="H64" s="5"/>
      <x:c r="I64" s="5"/>
      <x:c r="J64" s="5"/>
      <x:c r="K64" s="5"/>
      <x:c r="L64" s="5"/>
      <x:c r="M64" s="3"/>
      <x:c r="N64" s="78"/>
    </x:row>
    <x:row r="65" ht="21" customHeight="1">
      <x:c r="A65" s="3"/>
      <x:c r="B65" s="3"/>
      <x:c r="C65" s="5"/>
      <x:c r="D65" s="5"/>
      <x:c r="E65" s="5"/>
      <x:c r="F65" s="5"/>
      <x:c r="G65" s="5"/>
      <x:c r="H65" s="5"/>
      <x:c r="I65" s="5"/>
      <x:c r="J65" s="5"/>
      <x:c r="K65" s="5"/>
      <x:c r="L65" s="5"/>
      <x:c r="M65" s="3"/>
      <x:c r="N65" s="78"/>
    </x:row>
    <x:row r="66" ht="21" customHeight="1">
      <x:c r="A66" s="3"/>
      <x:c r="B66" s="3"/>
      <x:c r="C66" s="5"/>
      <x:c r="D66" s="5"/>
      <x:c r="E66" s="5"/>
      <x:c r="F66" s="5"/>
      <x:c r="G66" s="5"/>
      <x:c r="H66" s="5"/>
      <x:c r="I66" s="5"/>
      <x:c r="J66" s="5"/>
      <x:c r="K66" s="5"/>
      <x:c r="L66" s="5"/>
      <x:c r="M66" s="3"/>
      <x:c r="N66" s="78"/>
    </x:row>
    <x:row r="67" ht="21" customHeight="1">
      <x:c r="A67" s="3"/>
      <x:c r="B67" s="3"/>
      <x:c r="C67" s="5"/>
      <x:c r="D67" s="5"/>
      <x:c r="E67" s="5"/>
      <x:c r="F67" s="5"/>
      <x:c r="G67" s="5"/>
      <x:c r="H67" s="5"/>
      <x:c r="I67" s="5"/>
      <x:c r="J67" s="5"/>
      <x:c r="K67" s="5"/>
      <x:c r="L67" s="5"/>
      <x:c r="M67" s="3"/>
      <x:c r="N67" s="78"/>
    </x:row>
    <x:row r="68" ht="21" customHeight="1">
      <x:c r="A68" s="3"/>
      <x:c r="B68" s="3"/>
      <x:c r="C68" s="5"/>
      <x:c r="D68" s="5"/>
      <x:c r="E68" s="5"/>
      <x:c r="F68" s="5"/>
      <x:c r="G68" s="5"/>
      <x:c r="H68" s="5"/>
      <x:c r="I68" s="5"/>
      <x:c r="J68" s="5"/>
      <x:c r="K68" s="5"/>
      <x:c r="L68" s="5"/>
      <x:c r="M68" s="3"/>
      <x:c r="N68" s="78"/>
    </x:row>
    <x:row r="69" ht="21" customHeight="1">
      <x:c r="A69" s="3"/>
      <x:c r="B69" s="3"/>
      <x:c r="C69" s="5"/>
      <x:c r="D69" s="5"/>
      <x:c r="E69" s="5"/>
      <x:c r="F69" s="5"/>
      <x:c r="G69" s="5"/>
      <x:c r="H69" s="5"/>
      <x:c r="I69" s="5"/>
      <x:c r="J69" s="5"/>
      <x:c r="K69" s="5"/>
      <x:c r="L69" s="5"/>
      <x:c r="M69" s="3"/>
      <x:c r="N69" s="78"/>
    </x:row>
    <x:row r="70" ht="21" customHeight="1">
      <x:c r="A70" s="3"/>
      <x:c r="B70" s="3"/>
      <x:c r="C70" s="5"/>
      <x:c r="D70" s="5"/>
      <x:c r="E70" s="5"/>
      <x:c r="F70" s="5"/>
      <x:c r="G70" s="5"/>
      <x:c r="H70" s="5"/>
      <x:c r="I70" s="5"/>
      <x:c r="J70" s="5"/>
      <x:c r="K70" s="5"/>
      <x:c r="L70" s="5"/>
      <x:c r="M70" s="3"/>
      <x:c r="N70" s="78"/>
    </x:row>
    <x:row r="71" ht="21" customHeight="1">
      <x:c r="A71" s="3"/>
      <x:c r="B71" s="3"/>
      <x:c r="C71" s="5"/>
      <x:c r="D71" s="5"/>
      <x:c r="E71" s="5"/>
      <x:c r="F71" s="5"/>
      <x:c r="G71" s="5"/>
      <x:c r="H71" s="5"/>
      <x:c r="I71" s="5"/>
      <x:c r="J71" s="5"/>
      <x:c r="K71" s="5"/>
      <x:c r="L71" s="5"/>
      <x:c r="M71" s="3"/>
      <x:c r="N71" s="78"/>
    </x:row>
    <x:row r="72" ht="21" customHeight="1">
      <x:c r="A72" s="3"/>
      <x:c r="B72" s="3"/>
      <x:c r="C72" s="5"/>
      <x:c r="D72" s="5"/>
      <x:c r="E72" s="5"/>
      <x:c r="F72" s="5"/>
      <x:c r="G72" s="5"/>
      <x:c r="H72" s="5"/>
      <x:c r="I72" s="5"/>
      <x:c r="J72" s="5"/>
      <x:c r="K72" s="5"/>
      <x:c r="L72" s="5"/>
      <x:c r="M72" s="3"/>
      <x:c r="N72" s="78"/>
    </x:row>
    <x:row r="73" ht="21" customHeight="1">
      <x:c r="A73" s="3"/>
      <x:c r="B73" s="3"/>
      <x:c r="C73" s="5"/>
      <x:c r="D73" s="5"/>
      <x:c r="E73" s="5"/>
      <x:c r="F73" s="5"/>
      <x:c r="G73" s="5"/>
      <x:c r="H73" s="5"/>
      <x:c r="I73" s="5"/>
      <x:c r="J73" s="5"/>
      <x:c r="K73" s="5"/>
      <x:c r="L73" s="5"/>
      <x:c r="M73" s="3"/>
      <x:c r="N73" s="78"/>
    </x:row>
    <x:row r="74" ht="21" customHeight="1">
      <x:c r="A74" s="3"/>
      <x:c r="B74" s="3"/>
      <x:c r="C74" s="5"/>
      <x:c r="D74" s="5"/>
      <x:c r="E74" s="5"/>
      <x:c r="F74" s="5"/>
      <x:c r="G74" s="5"/>
      <x:c r="H74" s="5"/>
      <x:c r="I74" s="5"/>
      <x:c r="J74" s="5"/>
      <x:c r="K74" s="5"/>
      <x:c r="L74" s="5"/>
      <x:c r="M74" s="3"/>
      <x:c r="N74" s="78"/>
    </x:row>
    <x:row r="75" ht="21" customHeight="1">
      <x:c r="A75" s="3"/>
      <x:c r="B75" s="3"/>
      <x:c r="C75" s="5"/>
      <x:c r="D75" s="5"/>
      <x:c r="E75" s="5"/>
      <x:c r="F75" s="5"/>
      <x:c r="G75" s="5"/>
      <x:c r="H75" s="5"/>
      <x:c r="I75" s="5"/>
      <x:c r="J75" s="5"/>
      <x:c r="K75" s="5"/>
      <x:c r="L75" s="5"/>
      <x:c r="M75" s="3"/>
      <x:c r="N75" s="78"/>
    </x:row>
    <x:row r="76" ht="21" customHeight="1">
      <x:c r="A76" s="3"/>
      <x:c r="B76" s="3"/>
      <x:c r="C76" s="5"/>
      <x:c r="D76" s="5"/>
      <x:c r="E76" s="5"/>
      <x:c r="F76" s="5"/>
      <x:c r="G76" s="5"/>
      <x:c r="H76" s="5"/>
      <x:c r="I76" s="5"/>
      <x:c r="J76" s="5"/>
      <x:c r="K76" s="5"/>
      <x:c r="L76" s="5"/>
      <x:c r="M76" s="3"/>
      <x:c r="N76" s="78"/>
    </x:row>
    <x:row r="77" ht="21" customHeight="1">
      <x:c r="A77" s="3"/>
      <x:c r="B77" s="3"/>
      <x:c r="C77" s="5"/>
      <x:c r="D77" s="5"/>
      <x:c r="E77" s="5"/>
      <x:c r="F77" s="5"/>
      <x:c r="G77" s="5"/>
      <x:c r="H77" s="5"/>
      <x:c r="I77" s="5"/>
      <x:c r="J77" s="5"/>
      <x:c r="K77" s="5"/>
      <x:c r="L77" s="5"/>
      <x:c r="M77" s="3"/>
      <x:c r="N77" s="78"/>
    </x:row>
    <x:row r="78" ht="21" customHeight="1">
      <x:c r="A78" s="3"/>
      <x:c r="B78" s="3"/>
      <x:c r="C78" s="5"/>
      <x:c r="D78" s="5"/>
      <x:c r="E78" s="5"/>
      <x:c r="F78" s="5"/>
      <x:c r="G78" s="5"/>
      <x:c r="H78" s="5"/>
      <x:c r="I78" s="5"/>
      <x:c r="J78" s="5"/>
      <x:c r="K78" s="5"/>
      <x:c r="L78" s="5"/>
      <x:c r="M78" s="3"/>
      <x:c r="N78" s="78"/>
    </x:row>
    <x:row r="79" ht="21" customHeight="1">
      <x:c r="A79" s="3"/>
      <x:c r="B79" s="3"/>
      <x:c r="C79" s="5"/>
      <x:c r="D79" s="5"/>
      <x:c r="E79" s="5"/>
      <x:c r="F79" s="5"/>
      <x:c r="G79" s="5"/>
      <x:c r="H79" s="5"/>
      <x:c r="I79" s="5"/>
      <x:c r="J79" s="5"/>
      <x:c r="K79" s="5"/>
      <x:c r="L79" s="5"/>
      <x:c r="M79" s="3"/>
      <x:c r="N79" s="78"/>
    </x:row>
    <x:row r="80" ht="21" customHeight="1">
      <x:c r="A80" s="3"/>
      <x:c r="B80" s="3"/>
      <x:c r="C80" s="5"/>
      <x:c r="D80" s="5"/>
      <x:c r="E80" s="5"/>
      <x:c r="F80" s="5"/>
      <x:c r="G80" s="5"/>
      <x:c r="H80" s="5"/>
      <x:c r="I80" s="5"/>
      <x:c r="J80" s="5"/>
      <x:c r="K80" s="5"/>
      <x:c r="L80" s="5"/>
      <x:c r="M80" s="3"/>
      <x:c r="N80" s="78"/>
    </x:row>
    <x:row r="81" ht="21" customHeight="1">
      <x:c r="A81" s="3"/>
      <x:c r="B81" s="3"/>
      <x:c r="C81" s="5"/>
      <x:c r="D81" s="5"/>
      <x:c r="E81" s="5"/>
      <x:c r="F81" s="5"/>
      <x:c r="G81" s="5"/>
      <x:c r="H81" s="5"/>
      <x:c r="I81" s="5"/>
      <x:c r="J81" s="5"/>
      <x:c r="K81" s="5"/>
      <x:c r="L81" s="5"/>
      <x:c r="M81" s="3"/>
      <x:c r="N81" s="78"/>
    </x:row>
    <x:row r="82" ht="21" customHeight="1">
      <x:c r="A82" s="3"/>
      <x:c r="B82" s="3"/>
      <x:c r="C82" s="5"/>
      <x:c r="D82" s="5"/>
      <x:c r="E82" s="5"/>
      <x:c r="F82" s="5"/>
      <x:c r="G82" s="5"/>
      <x:c r="H82" s="5"/>
      <x:c r="I82" s="5"/>
      <x:c r="J82" s="5"/>
      <x:c r="K82" s="5"/>
      <x:c r="L82" s="5"/>
      <x:c r="M82" s="3"/>
      <x:c r="N82" s="78"/>
    </x:row>
    <x:row r="83" ht="21" customHeight="1">
      <x:c r="A83" s="3"/>
      <x:c r="B83" s="3"/>
      <x:c r="C83" s="5"/>
      <x:c r="D83" s="5"/>
      <x:c r="E83" s="5"/>
      <x:c r="F83" s="5"/>
      <x:c r="G83" s="5"/>
      <x:c r="H83" s="5"/>
      <x:c r="I83" s="5"/>
      <x:c r="J83" s="5"/>
      <x:c r="K83" s="5"/>
      <x:c r="L83" s="5"/>
      <x:c r="M83" s="3"/>
      <x:c r="N83" s="78"/>
    </x:row>
    <x:row r="84" ht="21" customHeight="1">
      <x:c r="A84" s="3"/>
      <x:c r="B84" s="3"/>
      <x:c r="C84" s="5"/>
      <x:c r="D84" s="5"/>
      <x:c r="E84" s="5"/>
      <x:c r="F84" s="5"/>
      <x:c r="G84" s="5"/>
      <x:c r="H84" s="5"/>
      <x:c r="I84" s="5"/>
      <x:c r="J84" s="5"/>
      <x:c r="K84" s="5"/>
      <x:c r="L84" s="5"/>
      <x:c r="M84" s="3"/>
      <x:c r="N84" s="78"/>
    </x:row>
    <x:row r="85" ht="21" customHeight="1">
      <x:c r="A85" s="3"/>
      <x:c r="B85" s="3"/>
      <x:c r="C85" s="5"/>
      <x:c r="D85" s="5"/>
      <x:c r="E85" s="5"/>
      <x:c r="F85" s="5"/>
      <x:c r="G85" s="5"/>
      <x:c r="H85" s="5"/>
      <x:c r="I85" s="5"/>
      <x:c r="J85" s="5"/>
      <x:c r="K85" s="5"/>
      <x:c r="L85" s="5"/>
      <x:c r="M85" s="3"/>
      <x:c r="N85" s="78"/>
    </x:row>
    <x:row r="86" ht="21" customHeight="1">
      <x:c r="A86" s="3"/>
      <x:c r="B86" s="3"/>
      <x:c r="C86" s="5"/>
      <x:c r="D86" s="5"/>
      <x:c r="E86" s="5"/>
      <x:c r="F86" s="5"/>
      <x:c r="G86" s="5"/>
      <x:c r="H86" s="5"/>
      <x:c r="I86" s="5"/>
      <x:c r="J86" s="5"/>
      <x:c r="K86" s="5"/>
      <x:c r="L86" s="5"/>
      <x:c r="M86" s="3"/>
      <x:c r="N86" s="78"/>
    </x:row>
    <x:row r="87" ht="21" customHeight="1">
      <x:c r="A87" s="3"/>
      <x:c r="B87" s="3"/>
      <x:c r="C87" s="5"/>
      <x:c r="D87" s="5"/>
      <x:c r="E87" s="5"/>
      <x:c r="F87" s="5"/>
      <x:c r="G87" s="5"/>
      <x:c r="H87" s="5"/>
      <x:c r="I87" s="5"/>
      <x:c r="J87" s="5"/>
      <x:c r="K87" s="5"/>
      <x:c r="L87" s="5"/>
      <x:c r="M87" s="3"/>
      <x:c r="N87" s="78"/>
    </x:row>
    <x:row r="88" ht="21" customHeight="1">
      <x:c r="A88" s="3"/>
      <x:c r="B88" s="3"/>
      <x:c r="C88" s="5"/>
      <x:c r="D88" s="5"/>
      <x:c r="E88" s="5"/>
      <x:c r="F88" s="5"/>
      <x:c r="G88" s="5"/>
      <x:c r="H88" s="5"/>
      <x:c r="I88" s="5"/>
      <x:c r="J88" s="5"/>
      <x:c r="K88" s="5"/>
      <x:c r="L88" s="5"/>
      <x:c r="M88" s="3"/>
      <x:c r="N88" s="78"/>
    </x:row>
    <x:row r="89" ht="21" customHeight="1">
      <x:c r="A89" s="3"/>
      <x:c r="B89" s="3"/>
      <x:c r="C89" s="5"/>
      <x:c r="D89" s="5"/>
      <x:c r="E89" s="5"/>
      <x:c r="F89" s="5"/>
      <x:c r="G89" s="5"/>
      <x:c r="H89" s="5"/>
      <x:c r="I89" s="5"/>
      <x:c r="J89" s="5"/>
      <x:c r="K89" s="5"/>
      <x:c r="L89" s="5"/>
      <x:c r="M89" s="3"/>
      <x:c r="N89" s="78"/>
    </x:row>
    <x:row r="90" ht="21" customHeight="1">
      <x:c r="A90" s="3"/>
      <x:c r="B90" s="3"/>
      <x:c r="C90" s="5"/>
      <x:c r="D90" s="5"/>
      <x:c r="E90" s="5"/>
      <x:c r="F90" s="5"/>
      <x:c r="G90" s="5"/>
      <x:c r="H90" s="5"/>
      <x:c r="I90" s="5"/>
      <x:c r="J90" s="5"/>
      <x:c r="K90" s="5"/>
      <x:c r="L90" s="5"/>
      <x:c r="M90" s="3"/>
      <x:c r="N90" s="78"/>
    </x:row>
    <x:row r="91" ht="21" customHeight="1">
      <x:c r="A91" s="3"/>
      <x:c r="B91" s="3"/>
      <x:c r="C91" s="5"/>
      <x:c r="D91" s="5"/>
      <x:c r="E91" s="5"/>
      <x:c r="F91" s="5"/>
      <x:c r="G91" s="5"/>
      <x:c r="H91" s="5"/>
      <x:c r="I91" s="5"/>
      <x:c r="J91" s="5"/>
      <x:c r="K91" s="5"/>
      <x:c r="L91" s="5"/>
      <x:c r="M91" s="3"/>
      <x:c r="N91" s="78"/>
    </x:row>
    <x:row r="92" ht="21" customHeight="1">
      <x:c r="A92" s="3"/>
      <x:c r="B92" s="3"/>
      <x:c r="C92" s="5"/>
      <x:c r="D92" s="5"/>
      <x:c r="E92" s="5"/>
      <x:c r="F92" s="5"/>
      <x:c r="G92" s="5"/>
      <x:c r="H92" s="5"/>
      <x:c r="I92" s="5"/>
      <x:c r="J92" s="5"/>
      <x:c r="K92" s="5"/>
      <x:c r="L92" s="5"/>
      <x:c r="M92" s="3"/>
      <x:c r="N92" s="78"/>
    </x:row>
    <x:row r="93" ht="21" customHeight="1">
      <x:c r="A93" s="3"/>
      <x:c r="B93" s="3"/>
      <x:c r="C93" s="5"/>
      <x:c r="D93" s="5"/>
      <x:c r="E93" s="5"/>
      <x:c r="F93" s="5"/>
      <x:c r="G93" s="5"/>
      <x:c r="H93" s="5"/>
      <x:c r="I93" s="5"/>
      <x:c r="J93" s="5"/>
      <x:c r="K93" s="5"/>
      <x:c r="L93" s="5"/>
      <x:c r="M93" s="3"/>
      <x:c r="N93" s="78"/>
    </x:row>
    <x:row r="94" ht="21" customHeight="1">
      <x:c r="A94" s="3"/>
      <x:c r="B94" s="3"/>
      <x:c r="C94" s="5"/>
      <x:c r="D94" s="5"/>
      <x:c r="E94" s="5"/>
      <x:c r="F94" s="5"/>
      <x:c r="G94" s="5"/>
      <x:c r="H94" s="5"/>
      <x:c r="I94" s="5"/>
      <x:c r="J94" s="5"/>
      <x:c r="K94" s="5"/>
      <x:c r="L94" s="5"/>
      <x:c r="M94" s="3"/>
      <x:c r="N94" s="78"/>
    </x:row>
    <x:row r="95" ht="21" customHeight="1">
      <x:c r="A95" s="3"/>
      <x:c r="B95" s="3"/>
      <x:c r="C95" s="5"/>
      <x:c r="D95" s="5"/>
      <x:c r="E95" s="5"/>
      <x:c r="F95" s="5"/>
      <x:c r="G95" s="5"/>
      <x:c r="H95" s="5"/>
      <x:c r="I95" s="5"/>
      <x:c r="J95" s="5"/>
      <x:c r="K95" s="5"/>
      <x:c r="L95" s="5"/>
      <x:c r="M95" s="3"/>
      <x:c r="N95" s="78"/>
    </x:row>
    <x:row r="96" ht="21" customHeight="1">
      <x:c r="A96" s="3"/>
      <x:c r="B96" s="3"/>
      <x:c r="C96" s="5"/>
      <x:c r="D96" s="5"/>
      <x:c r="E96" s="5"/>
      <x:c r="F96" s="5"/>
      <x:c r="G96" s="5"/>
      <x:c r="H96" s="5"/>
      <x:c r="I96" s="5"/>
      <x:c r="J96" s="5"/>
      <x:c r="K96" s="5"/>
      <x:c r="L96" s="5"/>
      <x:c r="M96" s="3"/>
      <x:c r="N96" s="78"/>
    </x:row>
    <x:row r="97" ht="21" customHeight="1">
      <x:c r="A97" s="3"/>
      <x:c r="B97" s="3"/>
      <x:c r="C97" s="5"/>
      <x:c r="D97" s="5"/>
      <x:c r="E97" s="5"/>
      <x:c r="F97" s="5"/>
      <x:c r="G97" s="5"/>
      <x:c r="H97" s="5"/>
      <x:c r="I97" s="5"/>
      <x:c r="J97" s="5"/>
      <x:c r="K97" s="5"/>
      <x:c r="L97" s="5"/>
      <x:c r="M97" s="3"/>
      <x:c r="N97" s="78"/>
    </x:row>
    <x:row r="98" ht="21" customHeight="1">
      <x:c r="A98" s="3"/>
      <x:c r="B98" s="3"/>
      <x:c r="C98" s="5"/>
      <x:c r="D98" s="5"/>
      <x:c r="E98" s="5"/>
      <x:c r="F98" s="5"/>
      <x:c r="G98" s="5"/>
      <x:c r="H98" s="5"/>
      <x:c r="I98" s="5"/>
      <x:c r="J98" s="5"/>
      <x:c r="K98" s="5"/>
      <x:c r="L98" s="5"/>
      <x:c r="M98" s="3"/>
      <x:c r="N98" s="78"/>
    </x:row>
    <x:row r="99" ht="21" customHeight="1">
      <x:c r="A99" s="3"/>
      <x:c r="B99" s="3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3"/>
      <x:c r="N99" s="78"/>
    </x:row>
    <x:row r="100" ht="21" customHeight="1">
      <x:c r="A100" s="3"/>
      <x:c r="B100" s="3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3"/>
      <x:c r="N100" s="7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3" hidden="0" customWidth="1"/>
    <x:col min="14" max="14" width="58" hidden="0" customWidth="1"/>
  </x:cols>
  <x:sheetData>
    <x:row r="1" ht="21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78"/>
    </x:row>
    <x:row r="2" ht="21" customHeight="1">
      <x:c r="A2" s="8" t="str">
        <x:v>Discounted Cash Flow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78"/>
    </x:row>
    <x:row r="3" ht="21" customHeight="1">
      <x:c r="A3" s="6" t="str">
        <x:v>Consolidated. ₹ crore except per-share values.</x:v>
      </x:c>
      <x:c r="B3" s="3"/>
      <x:c r="C3" s="3"/>
      <x:c r="D3" s="3"/>
      <x:c r="E3" s="3"/>
      <x:c r="F3" s="3"/>
      <x:c r="G3" s="3"/>
      <x:c r="H3" s="6" t="str">
        <x:v>Selected case</x:v>
      </x:c>
      <x:c r="I3" s="3"/>
      <x:c r="J3" s="14" t="str">
        <x:f>'02_Assumptions'!E3</x:f>
        <x:v>Base</x:v>
      </x:c>
      <x:c r="K3" s="3"/>
      <x:c r="L3" s="3"/>
      <x:c r="M3" s="3"/>
      <x:c r="N3" s="78"/>
    </x:row>
    <x:row r="4" ht="21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78"/>
    </x:row>
    <x:row r="5" ht="21" customHeight="1">
      <x:c r="A5" s="6" t="str">
        <x:v>Metric</x:v>
      </x:c>
      <x:c r="B5" s="3"/>
      <x:c r="C5" s="12" t="str">
        <x:v>FY2027E</x:v>
      </x:c>
      <x:c r="D5" s="12" t="str">
        <x:v>FY2028E</x:v>
      </x:c>
      <x:c r="E5" s="12" t="str">
        <x:v>FY2029E</x:v>
      </x:c>
      <x:c r="F5" s="12" t="str">
        <x:v>FY2030E</x:v>
      </x:c>
      <x:c r="G5" s="12" t="str">
        <x:v>FY2031E</x:v>
      </x:c>
      <x:c r="H5" s="3"/>
      <x:c r="I5" s="3"/>
      <x:c r="J5" s="3"/>
      <x:c r="K5" s="3"/>
      <x:c r="L5" s="3"/>
      <x:c r="M5" s="3"/>
      <x:c r="N5" s="78"/>
    </x:row>
    <x:row r="6" ht="21" customHeight="1">
      <x:c r="A6" s="3"/>
      <x:c r="B6" s="3"/>
      <x:c r="C6" s="5"/>
      <x:c r="D6" s="5"/>
      <x:c r="E6" s="5"/>
      <x:c r="F6" s="5"/>
      <x:c r="G6" s="5"/>
      <x:c r="H6" s="5"/>
      <x:c r="I6" s="5"/>
      <x:c r="J6" s="5"/>
      <x:c r="K6" s="5"/>
      <x:c r="L6" s="5"/>
      <x:c r="M6" s="3"/>
      <x:c r="N6" s="78"/>
    </x:row>
    <x:row r="7" ht="21" customHeight="1">
      <x:c r="A7" s="6" t="str">
        <x:v>Unlevered free cash flow</x:v>
      </x:c>
      <x:c r="B7" s="3"/>
      <x:c r="C7" s="5"/>
      <x:c r="D7" s="5"/>
      <x:c r="E7" s="5"/>
      <x:c r="F7" s="5"/>
      <x:c r="G7" s="5"/>
      <x:c r="H7" s="5"/>
      <x:c r="I7" s="5"/>
      <x:c r="J7" s="5"/>
      <x:c r="K7" s="5"/>
      <x:c r="L7" s="5"/>
      <x:c r="M7" s="3"/>
      <x:c r="N7" s="78"/>
    </x:row>
    <x:row r="8" ht="21" customHeight="1">
      <x:c r="A8" s="6" t="str">
        <x:v>Operating EBIT</x:v>
      </x:c>
      <x:c r="B8" s="3"/>
      <x:c r="C8" s="13" t="n">
        <x:f>'03_Income_Statement'!H19</x:f>
        <x:v>384.90530800000016</x:v>
      </x:c>
      <x:c r="D8" s="13" t="n">
        <x:f>'03_Income_Statement'!I19</x:f>
        <x:v>434.02845201</x:v>
      </x:c>
      <x:c r="E8" s="13" t="n">
        <x:f>'03_Income_Statement'!J19</x:f>
        <x:v>490.82140737108</x:v>
      </x:c>
      <x:c r="F8" s="13" t="n">
        <x:f>'03_Income_Statement'!K19</x:f>
        <x:v>554.0937314629123</x:v>
      </x:c>
      <x:c r="G8" s="13" t="n">
        <x:f>'03_Income_Statement'!L19</x:f>
        <x:v>629.7333346503435</x:v>
      </x:c>
      <x:c r="H8" s="5"/>
      <x:c r="I8" s="5"/>
      <x:c r="J8" s="5"/>
      <x:c r="K8" s="5"/>
      <x:c r="L8" s="5"/>
      <x:c r="M8" s="3"/>
      <x:c r="N8" s="79" t="str">
        <x:v>FY2027 cash flow is prorated from the valuation date. FY2026</x:v>
      </x:c>
    </x:row>
    <x:row r="9" ht="21" customHeight="1">
      <x:c r="A9" s="6" t="str">
        <x:v>Tax on operating EBIT</x:v>
      </x:c>
      <x:c r="B9" s="3"/>
      <x:c r="C9" s="13" t="n">
        <x:f>MAX(0,C8)*'02_Assumptions'!H74</x:f>
        <x:v>96.87296791744005</x:v>
      </x:c>
      <x:c r="D9" s="13" t="n">
        <x:f>MAX(0,D8)*'02_Assumptions'!I74</x:f>
        <x:v>109.23628080187682</x:v>
      </x:c>
      <x:c r="E9" s="13" t="n">
        <x:f>MAX(0,E8)*'02_Assumptions'!J74</x:f>
        <x:v>123.52993180715342</x:v>
      </x:c>
      <x:c r="F9" s="13" t="n">
        <x:f>MAX(0,F8)*'02_Assumptions'!K74</x:f>
        <x:v>139.45431033458576</x:v>
      </x:c>
      <x:c r="G9" s="13" t="n">
        <x:f>MAX(0,G8)*'02_Assumptions'!L74</x:f>
        <x:v>158.49128566479845</x:v>
      </x:c>
      <x:c r="H9" s="5"/>
      <x:c r="I9" s="5"/>
      <x:c r="J9" s="5"/>
      <x:c r="K9" s="5"/>
      <x:c r="L9" s="5"/>
      <x:c r="M9" s="3"/>
      <x:c r="N9" s="79" t="str">
        <x:v>net claims are the balance-sheet proxy. The reference price</x:v>
      </x:c>
    </x:row>
    <x:row r="10" ht="21" customHeight="1">
      <x:c r="A10" s="6" t="str">
        <x:v>NOPAT</x:v>
      </x:c>
      <x:c r="B10" s="3"/>
      <x:c r="C10" s="5" t="n">
        <x:f>C8-C9</x:f>
        <x:v>288.0323400825601</x:v>
      </x:c>
      <x:c r="D10" s="5" t="n">
        <x:f>D8-D9</x:f>
        <x:v>324.7921712081232</x:v>
      </x:c>
      <x:c r="E10" s="5" t="n">
        <x:f>E8-E9</x:f>
        <x:v>367.2914755639266</x:v>
      </x:c>
      <x:c r="F10" s="5" t="n">
        <x:f>F8-F9</x:f>
        <x:v>414.6394211283265</x:v>
      </x:c>
      <x:c r="G10" s="5" t="n">
        <x:f>G8-G9</x:f>
        <x:v>471.24204898554507</x:v>
      </x:c>
      <x:c r="H10" s="5"/>
      <x:c r="I10" s="5"/>
      <x:c r="J10" s="5"/>
      <x:c r="K10" s="5"/>
      <x:c r="L10" s="5"/>
      <x:c r="M10" s="3"/>
      <x:c r="N10" s="79" t="str">
        <x:v>is dated 21 September 2026, not live.</x:v>
      </x:c>
    </x:row>
    <x:row r="11" ht="21" customHeight="1">
      <x:c r="A11" s="6" t="str">
        <x:v>Depreciation and amortisation</x:v>
      </x:c>
      <x:c r="B11" s="3"/>
      <x:c r="C11" s="13" t="n">
        <x:f>'03_Income_Statement'!H12</x:f>
        <x:v>121.18394999999998</x:v>
      </x:c>
      <x:c r="D11" s="13" t="n">
        <x:f>'03_Income_Statement'!I12</x:f>
        <x:v>140.8480395</x:v>
      </x:c>
      <x:c r="E11" s="13" t="n">
        <x:f>'03_Income_Statement'!J12</x:f>
        <x:v>156.99944381412</x:v>
      </x:c>
      <x:c r="F11" s="13" t="n">
        <x:f>'03_Income_Statement'!K12</x:f>
        <x:v>170.4190870038516</x:v>
      </x:c>
      <x:c r="G11" s="13" t="n">
        <x:f>'03_Income_Statement'!L12</x:f>
        <x:v>174.86291213795212</x:v>
      </x:c>
      <x:c r="H11" s="5"/>
      <x:c r="I11" s="5"/>
      <x:c r="J11" s="5"/>
      <x:c r="K11" s="5"/>
      <x:c r="L11" s="5"/>
      <x:c r="M11" s="3"/>
      <x:c r="N11" s="78"/>
    </x:row>
    <x:row r="12" ht="21" customHeight="1">
      <x:c r="A12" s="6" t="str">
        <x:v>Cash capex plus new lease assets</x:v>
      </x:c>
      <x:c r="B12" s="3"/>
      <x:c r="C12" s="13" t="n">
        <x:f>'06_Schedules'!H23+'06_Schedules'!H39</x:f>
        <x:v>358</x:v>
      </x:c>
      <x:c r="D12" s="13" t="n">
        <x:f>'06_Schedules'!I23+'06_Schedules'!I39</x:f>
        <x:v>358</x:v>
      </x:c>
      <x:c r="E12" s="13" t="n">
        <x:f>'06_Schedules'!J23+'06_Schedules'!J39</x:f>
        <x:v>288.44192692</x:v>
      </x:c>
      <x:c r="F12" s="13" t="n">
        <x:f>'06_Schedules'!K23+'06_Schedules'!K39</x:f>
        <x:v>318.2838622984</x:v>
      </x:c>
      <x:c r="G12" s="13" t="n">
        <x:f>'06_Schedules'!L23+'06_Schedules'!L39</x:f>
        <x:v>348.93061304588804</x:v>
      </x:c>
      <x:c r="H12" s="5"/>
      <x:c r="I12" s="5"/>
      <x:c r="J12" s="5"/>
      <x:c r="K12" s="5"/>
      <x:c r="L12" s="5"/>
      <x:c r="M12" s="3"/>
      <x:c r="N12" s="78"/>
    </x:row>
    <x:row r="13" ht="21" customHeight="1">
      <x:c r="A13" s="6" t="str">
        <x:v>Change in operating working capital</x:v>
      </x:c>
      <x:c r="B13" s="3"/>
      <x:c r="C13" s="13" t="n">
        <x:f>'06_Schedules'!H18</x:f>
        <x:v>78.50657000000001</x:v>
      </x:c>
      <x:c r="D13" s="13" t="n">
        <x:f>'06_Schedules'!I18</x:f>
        <x:v>80.19597939999983</x:v>
      </x:c>
      <x:c r="E13" s="13" t="n">
        <x:f>'06_Schedules'!J18</x:f>
        <x:v>83.67903866800009</x:v>
      </x:c>
      <x:c r="F13" s="13" t="n">
        <x:f>'06_Schedules'!K18</x:f>
        <x:v>86.54161259735986</x:v>
      </x:c>
      <x:c r="G13" s="13" t="n">
        <x:f>'06_Schedules'!L18</x:f>
        <x:v>88.87557716771528</x:v>
      </x:c>
      <x:c r="H13" s="5"/>
      <x:c r="I13" s="5"/>
      <x:c r="J13" s="5"/>
      <x:c r="K13" s="5"/>
      <x:c r="L13" s="5"/>
      <x:c r="M13" s="3"/>
      <x:c r="N13" s="78"/>
    </x:row>
    <x:row r="14" ht="21" customHeight="1">
      <x:c r="A14" s="6" t="str">
        <x:v>Unlevered free cash flow</x:v>
      </x:c>
      <x:c r="B14" s="3"/>
      <x:c r="C14" s="13" t="n">
        <x:f>'07_FCF'!H16</x:f>
        <x:v>-36.047599917439925</x:v>
      </x:c>
      <x:c r="D14" s="13" t="n">
        <x:f>'07_FCF'!I16</x:f>
        <x:v>16.38271690812337</x:v>
      </x:c>
      <x:c r="E14" s="13" t="n">
        <x:f>'07_FCF'!J16</x:f>
        <x:v>140.62801742204653</x:v>
      </x:c>
      <x:c r="F14" s="13" t="n">
        <x:f>'07_FCF'!K16</x:f>
        <x:v>168.29625908505824</x:v>
      </x:c>
      <x:c r="G14" s="13" t="n">
        <x:f>'07_FCF'!L16</x:f>
        <x:v>196.04007061089868</x:v>
      </x:c>
      <x:c r="H14" s="5"/>
      <x:c r="I14" s="5"/>
      <x:c r="J14" s="5"/>
      <x:c r="K14" s="5"/>
      <x:c r="L14" s="5"/>
      <x:c r="M14" s="3"/>
      <x:c r="N14" s="78"/>
    </x:row>
    <x:row r="15" ht="21" customHeight="1">
      <x:c r="A15" s="6" t="str">
        <x:v>Years from valuation date (stub first year)</x:v>
      </x:c>
      <x:c r="B15" s="3"/>
      <x:c r="C15" s="53" t="n">
        <x:f>0+(DATE(2027,3,31)-'02_Assumptions'!$K$17)/365</x:f>
        <x:v>0.5232876712328767</x:v>
      </x:c>
      <x:c r="D15" s="53" t="n">
        <x:f>1+(DATE(2027,3,31)-'02_Assumptions'!$K$17)/365</x:f>
        <x:v>1.5232876712328767</x:v>
      </x:c>
      <x:c r="E15" s="53" t="n">
        <x:f>2+(DATE(2027,3,31)-'02_Assumptions'!$K$17)/365</x:f>
        <x:v>2.5232876712328767</x:v>
      </x:c>
      <x:c r="F15" s="53" t="n">
        <x:f>3+(DATE(2027,3,31)-'02_Assumptions'!$K$17)/365</x:f>
        <x:v>3.5232876712328767</x:v>
      </x:c>
      <x:c r="G15" s="53" t="n">
        <x:f>4+(DATE(2027,3,31)-'02_Assumptions'!$K$17)/365</x:f>
        <x:v>4.523287671232877</x:v>
      </x:c>
      <x:c r="H15" s="5"/>
      <x:c r="I15" s="5"/>
      <x:c r="J15" s="5"/>
      <x:c r="K15" s="5"/>
      <x:c r="L15" s="5"/>
      <x:c r="M15" s="3"/>
      <x:c r="N15" s="78"/>
    </x:row>
    <x:row r="16" ht="21" customHeight="1">
      <x:c r="A16" s="6" t="str">
        <x:v>Discount factor</x:v>
      </x:c>
      <x:c r="B16" s="3"/>
      <x:c r="C16" s="54" t="n">
        <x:f>1/(1+$C$22)^C15</x:f>
        <x:v>0.9402265609807368</x:v>
      </x:c>
      <x:c r="D16" s="54" t="n">
        <x:f>1/(1+$C$22)^D15</x:f>
        <x:v>0.8357569430939883</x:v>
      </x:c>
      <x:c r="E16" s="54" t="n">
        <x:f>1/(1+$C$22)^E15</x:f>
        <x:v>0.7428950605279895</x:v>
      </x:c>
      <x:c r="F16" s="54" t="n">
        <x:f>1/(1+$C$22)^F15</x:f>
        <x:v>0.6603511649137684</x:v>
      </x:c>
      <x:c r="G16" s="54" t="n">
        <x:f>1/(1+$C$22)^G15</x:f>
        <x:v>0.5869788132566831</x:v>
      </x:c>
      <x:c r="H16" s="5"/>
      <x:c r="I16" s="5"/>
      <x:c r="J16" s="5"/>
      <x:c r="K16" s="5"/>
      <x:c r="L16" s="5"/>
      <x:c r="M16" s="3"/>
      <x:c r="N16" s="78"/>
    </x:row>
    <x:row r="17" ht="21" customHeight="1">
      <x:c r="A17" s="6" t="str">
        <x:v>Present value of cash flow</x:v>
      </x:c>
      <x:c r="B17" s="3"/>
      <x:c r="C17" s="5" t="n">
        <x:f>C14*C16*$C$15</x:f>
        <x:v>-17.7357424172026</x:v>
      </x:c>
      <x:c r="D17" s="5" t="n">
        <x:f>D14*D16*1</x:f>
        <x:v>13.691969402707384</x:v>
      </x:c>
      <x:c r="E17" s="5" t="n">
        <x:f>E14*E16*1</x:f>
        <x:v>104.47185951468241</x:v>
      </x:c>
      <x:c r="F17" s="5" t="n">
        <x:f>F14*F16*1</x:f>
        <x:v>111.1346307374476</x:v>
      </x:c>
      <x:c r="G17" s="5" t="n">
        <x:f>G14*G16*1</x:f>
        <x:v>115.07136799794166</x:v>
      </x:c>
      <x:c r="H17" s="5"/>
      <x:c r="I17" s="5"/>
      <x:c r="J17" s="5"/>
      <x:c r="K17" s="5"/>
      <x:c r="L17" s="5"/>
      <x:c r="M17" s="3"/>
      <x:c r="N17" s="78"/>
    </x:row>
    <x:row r="18" ht="21" customHeight="1">
      <x:c r="A18" s="3"/>
      <x:c r="B18" s="3"/>
      <x:c r="C18" s="5"/>
      <x:c r="D18" s="5"/>
      <x:c r="E18" s="5"/>
      <x:c r="F18" s="5"/>
      <x:c r="G18" s="5"/>
      <x:c r="H18" s="5"/>
      <x:c r="I18" s="5"/>
      <x:c r="J18" s="5"/>
      <x:c r="K18" s="5"/>
      <x:c r="L18" s="5"/>
      <x:c r="M18" s="3"/>
      <x:c r="N18" s="78"/>
    </x:row>
    <x:row r="19" ht="21" customHeight="1">
      <x:c r="A19" s="6" t="str">
        <x:v>Required operating cash</x:v>
      </x:c>
      <x:c r="B19" s="3"/>
      <x:c r="C19" s="13" t="n">
        <x:f>'06_Schedules'!H56</x:f>
        <x:v>89.57332000000002</x:v>
      </x:c>
      <x:c r="D19" s="13" t="n">
        <x:f>'06_Schedules'!I56</x:f>
        <x:v>100.6348344</x:v>
      </x:c>
      <x:c r="E19" s="13" t="n">
        <x:f>'06_Schedules'!J56</x:f>
        <x:v>112.17677076800001</x:v>
      </x:c>
      <x:c r="F19" s="13" t="n">
        <x:f>'06_Schedules'!K56</x:f>
        <x:v>124.11354491936</x:v>
      </x:c>
      <x:c r="G19" s="13" t="n">
        <x:f>'06_Schedules'!L56</x:f>
        <x:v>136.3722452183552</x:v>
      </x:c>
      <x:c r="H19" s="5"/>
      <x:c r="I19" s="5"/>
      <x:c r="J19" s="5"/>
      <x:c r="K19" s="5"/>
      <x:c r="L19" s="5"/>
      <x:c r="M19" s="3"/>
      <x:c r="N19" s="78"/>
    </x:row>
    <x:row r="20" ht="21" customHeight="1">
      <x:c r="A20" s="6" t="str">
        <x:v>Increase in required operating cash</x:v>
      </x:c>
      <x:c r="B20" s="3"/>
      <x:c r="C20" s="5" t="n">
        <x:f>C19-$C$39</x:f>
        <x:v>8.757320000000021</x:v>
      </x:c>
      <x:c r="D20" s="5" t="n">
        <x:f>D19-C19</x:f>
        <x:v>11.061514399999979</x:v>
      </x:c>
      <x:c r="E20" s="5" t="n">
        <x:f>E19-D19</x:f>
        <x:v>11.541936368000009</x:v>
      </x:c>
      <x:c r="F20" s="5" t="n">
        <x:f>F19-E19</x:f>
        <x:v>11.936774151359984</x:v>
      </x:c>
      <x:c r="G20" s="5" t="n">
        <x:f>G19-F19</x:f>
        <x:v>12.258700298995208</x:v>
      </x:c>
      <x:c r="H20" s="5"/>
      <x:c r="I20" s="5"/>
      <x:c r="J20" s="5"/>
      <x:c r="K20" s="5"/>
      <x:c r="L20" s="5"/>
      <x:c r="M20" s="3"/>
      <x:c r="N20" s="78"/>
    </x:row>
    <x:row r="21" ht="21" customHeight="1">
      <x:c r="A21" s="6" t="str">
        <x:v>Enterprise to equity value</x:v>
      </x:c>
      <x:c r="B21" s="3"/>
      <x:c r="C21" s="5"/>
      <x:c r="D21" s="5"/>
      <x:c r="E21" s="5"/>
      <x:c r="F21" s="5"/>
      <x:c r="G21" s="5"/>
      <x:c r="H21" s="5"/>
      <x:c r="I21" s="5"/>
      <x:c r="J21" s="5"/>
      <x:c r="K21" s="5"/>
      <x:c r="L21" s="5"/>
      <x:c r="M21" s="3"/>
      <x:c r="N21" s="78"/>
    </x:row>
    <x:row r="22" ht="21" customHeight="1">
      <x:c r="A22" s="6" t="str">
        <x:v>WACC</x:v>
      </x:c>
      <x:c r="B22" s="3"/>
      <x:c r="C22" s="38" t="n">
        <x:f>'02_Assumptions'!$K$8</x:f>
        <x:v>0.125</x:v>
      </x:c>
      <x:c r="D22" s="5"/>
      <x:c r="E22" s="5"/>
      <x:c r="F22" s="5"/>
      <x:c r="G22" s="5"/>
      <x:c r="H22" s="5"/>
      <x:c r="I22" s="5"/>
      <x:c r="J22" s="5"/>
      <x:c r="K22" s="5"/>
      <x:c r="L22" s="5"/>
      <x:c r="M22" s="3"/>
      <x:c r="N22" s="79" t="str">
        <x:v>Terminal reinvestment = growth / terminal ROIC. Retained</x:v>
      </x:c>
    </x:row>
    <x:row r="23" ht="21" customHeight="1">
      <x:c r="A23" s="6" t="str">
        <x:v>Terminal growth</x:v>
      </x:c>
      <x:c r="B23" s="3"/>
      <x:c r="C23" s="38" t="n">
        <x:f>'02_Assumptions'!$K$9</x:f>
        <x:v>0.04</x:v>
      </x:c>
      <x:c r="D23" s="5"/>
      <x:c r="E23" s="5"/>
      <x:c r="F23" s="5"/>
      <x:c r="G23" s="5"/>
      <x:c r="H23" s="5"/>
      <x:c r="I23" s="5"/>
      <x:c r="J23" s="5"/>
      <x:c r="K23" s="5"/>
      <x:c r="L23" s="5"/>
      <x:c r="M23" s="3"/>
      <x:c r="N23" s="79" t="str">
        <x:v>investment is required to fund perpetual growth.</x:v>
      </x:c>
    </x:row>
    <x:row r="24" ht="21" customHeight="1">
      <x:c r="A24" s="6" t="str">
        <x:v>PV of forecast cash flows</x:v>
      </x:c>
      <x:c r="B24" s="3"/>
      <x:c r="C24" s="5" t="n">
        <x:f>SUM(C17:G17)</x:f>
        <x:v>326.63408523557644</x:v>
      </x:c>
      <x:c r="D24" s="5"/>
      <x:c r="E24" s="5"/>
      <x:c r="F24" s="5"/>
      <x:c r="G24" s="5"/>
      <x:c r="H24" s="5"/>
      <x:c r="I24" s="5"/>
      <x:c r="J24" s="5"/>
      <x:c r="K24" s="5"/>
      <x:c r="L24" s="5"/>
      <x:c r="M24" s="3"/>
      <x:c r="N24" s="78"/>
    </x:row>
    <x:row r="25" ht="21" customHeight="1">
      <x:c r="A25" s="6" t="str">
        <x:v>Terminal-year NOPAT</x:v>
      </x:c>
      <x:c r="B25" s="3"/>
      <x:c r="C25" s="5" t="n">
        <x:f>G10*(1+C23)</x:f>
        <x:v>490.0917309449669</x:v>
      </x:c>
      <x:c r="D25" s="5"/>
      <x:c r="E25" s="5"/>
      <x:c r="F25" s="5"/>
      <x:c r="G25" s="5"/>
      <x:c r="H25" s="5"/>
      <x:c r="I25" s="5"/>
      <x:c r="J25" s="5"/>
      <x:c r="K25" s="5"/>
      <x:c r="L25" s="5"/>
      <x:c r="M25" s="3"/>
      <x:c r="N25" s="78"/>
    </x:row>
    <x:row r="26" ht="21" customHeight="1">
      <x:c r="A26" s="6" t="str">
        <x:v>Terminal reinvestment rate (g / ROIC)</x:v>
      </x:c>
      <x:c r="B26" s="3"/>
      <x:c r="C26" s="24" t="n">
        <x:f>C23/C38</x:f>
        <x:v>0.33333333333333337</x:v>
      </x:c>
      <x:c r="D26" s="5"/>
      <x:c r="E26" s="5"/>
      <x:c r="F26" s="5"/>
      <x:c r="G26" s="5"/>
      <x:c r="H26" s="5"/>
      <x:c r="I26" s="5"/>
      <x:c r="J26" s="5"/>
      <x:c r="K26" s="5"/>
      <x:c r="L26" s="5"/>
      <x:c r="M26" s="3"/>
      <x:c r="N26" s="78"/>
    </x:row>
    <x:row r="27" ht="21" customHeight="1">
      <x:c r="A27" s="6" t="str">
        <x:v>Terminal free cash flow</x:v>
      </x:c>
      <x:c r="B27" s="3"/>
      <x:c r="C27" s="5" t="n">
        <x:f>C25*(1-C26)</x:f>
        <x:v>326.72782062997794</x:v>
      </x:c>
      <x:c r="D27" s="5"/>
      <x:c r="E27" s="5"/>
      <x:c r="F27" s="5"/>
      <x:c r="G27" s="5"/>
      <x:c r="H27" s="5"/>
      <x:c r="I27" s="5"/>
      <x:c r="J27" s="5"/>
      <x:c r="K27" s="5"/>
      <x:c r="L27" s="5"/>
      <x:c r="M27" s="3"/>
      <x:c r="N27" s="78"/>
    </x:row>
    <x:row r="28" ht="21" customHeight="1">
      <x:c r="A28" s="6" t="str">
        <x:v>PV of terminal value</x:v>
      </x:c>
      <x:c r="B28" s="3"/>
      <x:c r="C28" s="5" t="n">
        <x:f>C27/(C22-C23)*G16</x:f>
        <x:v>2256.2624518979633</x:v>
      </x:c>
      <x:c r="D28" s="5"/>
      <x:c r="E28" s="5"/>
      <x:c r="F28" s="5"/>
      <x:c r="G28" s="5"/>
      <x:c r="H28" s="5"/>
      <x:c r="I28" s="5"/>
      <x:c r="J28" s="5"/>
      <x:c r="K28" s="5"/>
      <x:c r="L28" s="5"/>
      <x:c r="M28" s="3"/>
      <x:c r="N28" s="78"/>
    </x:row>
    <x:row r="29" ht="21" customHeight="1">
      <x:c r="A29" s="6" t="str">
        <x:v>Enterprise value</x:v>
      </x:c>
      <x:c r="B29" s="3"/>
      <x:c r="C29" s="5" t="n">
        <x:f>SUM(C24,C28)</x:f>
        <x:v>2582.89653713354</x:v>
      </x:c>
      <x:c r="D29" s="5"/>
      <x:c r="E29" s="5"/>
      <x:c r="F29" s="5"/>
      <x:c r="G29" s="5"/>
      <x:c r="H29" s="5"/>
      <x:c r="I29" s="5"/>
      <x:c r="J29" s="5"/>
      <x:c r="K29" s="5"/>
      <x:c r="L29" s="5"/>
      <x:c r="M29" s="3"/>
      <x:c r="N29" s="78"/>
    </x:row>
    <x:row r="30" ht="21" customHeight="1">
      <x:c r="A30" s="6" t="str">
        <x:v>Borrowings and lease liabilities</x:v>
      </x:c>
      <x:c r="B30" s="3"/>
      <x:c r="C30" s="13" t="n">
        <x:f>SUM('10_Historical'!G39:'10_Historical'!G42)</x:f>
        <x:v>379.1599999999999</x:v>
      </x:c>
      <x:c r="D30" s="5"/>
      <x:c r="E30" s="5"/>
      <x:c r="F30" s="5"/>
      <x:c r="G30" s="5"/>
      <x:c r="H30" s="5"/>
      <x:c r="I30" s="5"/>
      <x:c r="J30" s="5"/>
      <x:c r="K30" s="5"/>
      <x:c r="L30" s="5"/>
      <x:c r="M30" s="3"/>
      <x:c r="N30" s="78"/>
    </x:row>
    <x:row r="31" ht="21" customHeight="1">
      <x:c r="A31" s="6" t="str">
        <x:v>Excess cash + non-operating current funds</x:v>
      </x:c>
      <x:c r="B31" s="3"/>
      <x:c r="C31" s="13" t="n">
        <x:f>MAX(0,'10_Historical'!G29-C39)+'10_Historical'!G30</x:f>
        <x:v>43.944</x:v>
      </x:c>
      <x:c r="D31" s="5"/>
      <x:c r="E31" s="5"/>
      <x:c r="F31" s="5"/>
      <x:c r="G31" s="5"/>
      <x:c r="H31" s="5"/>
      <x:c r="I31" s="5"/>
      <x:c r="J31" s="5"/>
      <x:c r="K31" s="5"/>
      <x:c r="L31" s="5"/>
      <x:c r="M31" s="3"/>
      <x:c r="N31" s="78"/>
    </x:row>
    <x:row r="32" ht="21" customHeight="1">
      <x:c r="A32" s="6" t="str">
        <x:v>Non-controlling interests</x:v>
      </x:c>
      <x:c r="B32" s="3"/>
      <x:c r="C32" s="13" t="n">
        <x:f>'10_Historical'!G38</x:f>
        <x:v>0</x:v>
      </x:c>
      <x:c r="D32" s="5"/>
      <x:c r="E32" s="5"/>
      <x:c r="F32" s="5"/>
      <x:c r="G32" s="5"/>
      <x:c r="H32" s="5"/>
      <x:c r="I32" s="5"/>
      <x:c r="J32" s="5"/>
      <x:c r="K32" s="5"/>
      <x:c r="L32" s="5"/>
      <x:c r="M32" s="3"/>
      <x:c r="N32" s="78"/>
    </x:row>
    <x:row r="33" ht="21" customHeight="1">
      <x:c r="A33" s="6" t="str">
        <x:v>Equity value</x:v>
      </x:c>
      <x:c r="B33" s="3"/>
      <x:c r="C33" s="5" t="n">
        <x:f>C29-C30+C31-C32</x:f>
        <x:v>2247.68053713354</x:v>
      </x:c>
      <x:c r="D33" s="5"/>
      <x:c r="E33" s="5"/>
      <x:c r="F33" s="5"/>
      <x:c r="G33" s="5"/>
      <x:c r="H33" s="5"/>
      <x:c r="I33" s="5"/>
      <x:c r="J33" s="5"/>
      <x:c r="K33" s="5"/>
      <x:c r="L33" s="5"/>
      <x:c r="M33" s="3"/>
      <x:c r="N33" s="78"/>
    </x:row>
    <x:row r="34" ht="21" customHeight="1">
      <x:c r="A34" s="6" t="str">
        <x:v>Diluted shares outstanding (crore)</x:v>
      </x:c>
      <x:c r="B34" s="3"/>
      <x:c r="C34" s="13" t="n">
        <x:f>'10_Historical'!G59</x:f>
        <x:v>12.1881498</x:v>
      </x:c>
      <x:c r="D34" s="5"/>
      <x:c r="E34" s="5"/>
      <x:c r="F34" s="5"/>
      <x:c r="G34" s="5"/>
      <x:c r="H34" s="5"/>
      <x:c r="I34" s="5"/>
      <x:c r="J34" s="5"/>
      <x:c r="K34" s="5"/>
      <x:c r="L34" s="5"/>
      <x:c r="M34" s="3"/>
      <x:c r="N34" s="78"/>
    </x:row>
    <x:row r="35" ht="21" customHeight="1">
      <x:c r="A35" s="41" t="str">
        <x:v>Implied value per share (INR)</x:v>
      </x:c>
      <x:c r="B35" s="51"/>
      <x:c r="C35" s="58" t="n">
        <x:f>C33/C34</x:f>
        <x:v>184.415237260502</x:v>
      </x:c>
      <x:c r="D35" s="5"/>
      <x:c r="E35" s="5"/>
      <x:c r="F35" s="5"/>
      <x:c r="G35" s="5"/>
      <x:c r="H35" s="5"/>
      <x:c r="I35" s="5"/>
      <x:c r="J35" s="5"/>
      <x:c r="K35" s="5"/>
      <x:c r="L35" s="5"/>
      <x:c r="M35" s="3"/>
      <x:c r="N35" s="78"/>
    </x:row>
    <x:row r="36" ht="21" customHeight="1">
      <x:c r="A36" s="6" t="str">
        <x:v>Reference share price (INR)</x:v>
      </x:c>
      <x:c r="B36" s="3"/>
      <x:c r="C36" s="56" t="n">
        <x:f>'02_Assumptions'!$K$15</x:f>
        <x:v>756.5</x:v>
      </x:c>
      <x:c r="D36" s="5"/>
      <x:c r="E36" s="5"/>
      <x:c r="F36" s="5"/>
      <x:c r="G36" s="5"/>
      <x:c r="H36" s="5"/>
      <x:c r="I36" s="5"/>
      <x:c r="J36" s="5"/>
      <x:c r="K36" s="5"/>
      <x:c r="L36" s="5"/>
      <x:c r="M36" s="3"/>
      <x:c r="N36" s="78"/>
    </x:row>
    <x:row r="37" ht="21" customHeight="1">
      <x:c r="A37" s="6" t="str">
        <x:v>Value / reference price less one</x:v>
      </x:c>
      <x:c r="B37" s="3"/>
      <x:c r="C37" s="24" t="n">
        <x:f>C35/C36-1</x:f>
        <x:v>-0.7562257273489729</x:v>
      </x:c>
      <x:c r="D37" s="5"/>
      <x:c r="E37" s="5"/>
      <x:c r="F37" s="5"/>
      <x:c r="G37" s="5"/>
      <x:c r="H37" s="5"/>
      <x:c r="I37" s="5"/>
      <x:c r="J37" s="5"/>
      <x:c r="K37" s="5"/>
      <x:c r="L37" s="5"/>
      <x:c r="M37" s="3"/>
      <x:c r="N37" s="78"/>
    </x:row>
    <x:row r="38" ht="21" customHeight="1">
      <x:c r="A38" s="6" t="str">
        <x:v>Terminal return on invested capital</x:v>
      </x:c>
      <x:c r="B38" s="3"/>
      <x:c r="C38" s="38" t="n">
        <x:f>'02_Assumptions'!$K$10</x:f>
        <x:v>0.12</x:v>
      </x:c>
      <x:c r="D38" s="5"/>
      <x:c r="E38" s="5"/>
      <x:c r="F38" s="5"/>
      <x:c r="G38" s="5"/>
      <x:c r="H38" s="5"/>
      <x:c r="I38" s="5"/>
      <x:c r="J38" s="5"/>
      <x:c r="K38" s="5"/>
      <x:c r="L38" s="5"/>
      <x:c r="M38" s="3"/>
      <x:c r="N38" s="78"/>
    </x:row>
    <x:row r="39" ht="21" customHeight="1">
      <x:c r="A39" s="6" t="str">
        <x:v>Operating cash retained at valuation</x:v>
      </x:c>
      <x:c r="B39" s="3"/>
      <x:c r="C39" s="13" t="n">
        <x:f>'10_Historical'!G8*'02_Assumptions'!H82</x:f>
        <x:v>80.816</x:v>
      </x:c>
      <x:c r="D39" s="5"/>
      <x:c r="E39" s="5"/>
      <x:c r="F39" s="5"/>
      <x:c r="G39" s="5"/>
      <x:c r="H39" s="5"/>
      <x:c r="I39" s="5"/>
      <x:c r="J39" s="5"/>
      <x:c r="K39" s="5"/>
      <x:c r="L39" s="5"/>
      <x:c r="M39" s="3"/>
      <x:c r="N39" s="78"/>
    </x:row>
    <x:row r="40" ht="21" customHeight="1">
      <x:c r="A40" s="3"/>
      <x:c r="B40" s="3"/>
      <x:c r="C40" s="5"/>
      <x:c r="D40" s="5"/>
      <x:c r="E40" s="5"/>
      <x:c r="F40" s="5"/>
      <x:c r="G40" s="5"/>
      <x:c r="H40" s="5"/>
      <x:c r="I40" s="5"/>
      <x:c r="J40" s="5"/>
      <x:c r="K40" s="5"/>
      <x:c r="L40" s="5"/>
      <x:c r="M40" s="3"/>
      <x:c r="N40" s="78"/>
    </x:row>
    <x:row r="41" ht="21" customHeight="1">
      <x:c r="A41" s="3"/>
      <x:c r="B41" s="3"/>
      <x:c r="C41" s="5"/>
      <x:c r="D41" s="5"/>
      <x:c r="E41" s="5"/>
      <x:c r="F41" s="5"/>
      <x:c r="G41" s="5"/>
      <x:c r="H41" s="5"/>
      <x:c r="I41" s="5"/>
      <x:c r="J41" s="5"/>
      <x:c r="K41" s="5"/>
      <x:c r="L41" s="5"/>
      <x:c r="M41" s="3"/>
      <x:c r="N41" s="78"/>
    </x:row>
    <x:row r="42" ht="21" customHeight="1">
      <x:c r="A42" s="3"/>
      <x:c r="B42" s="3"/>
      <x:c r="C42" s="5"/>
      <x:c r="D42" s="5"/>
      <x:c r="E42" s="5"/>
      <x:c r="F42" s="5"/>
      <x:c r="G42" s="5"/>
      <x:c r="H42" s="5"/>
      <x:c r="I42" s="5"/>
      <x:c r="J42" s="5"/>
      <x:c r="K42" s="5"/>
      <x:c r="L42" s="5"/>
      <x:c r="M42" s="3"/>
      <x:c r="N42" s="78"/>
    </x:row>
    <x:row r="43" ht="21" customHeight="1">
      <x:c r="A43" s="3"/>
      <x:c r="B43" s="3"/>
      <x:c r="C43" s="5"/>
      <x:c r="D43" s="5"/>
      <x:c r="E43" s="5"/>
      <x:c r="F43" s="5"/>
      <x:c r="G43" s="5"/>
      <x:c r="H43" s="5"/>
      <x:c r="I43" s="5"/>
      <x:c r="J43" s="5"/>
      <x:c r="K43" s="5"/>
      <x:c r="L43" s="5"/>
      <x:c r="M43" s="3"/>
      <x:c r="N43" s="78"/>
    </x:row>
    <x:row r="44" ht="24" customHeight="1">
      <x:c r="A44" s="18" t="str">
        <x:v>Forward earnings comparison</x:v>
      </x:c>
      <x:c r="B44" s="18"/>
      <x:c r="C44" s="19"/>
      <x:c r="D44" s="19"/>
      <x:c r="E44" s="19"/>
      <x:c r="F44" s="19"/>
      <x:c r="G44" s="19"/>
      <x:c r="H44" s="5"/>
      <x:c r="I44" s="5"/>
      <x:c r="J44" s="5"/>
      <x:c r="K44" s="5"/>
      <x:c r="L44" s="5"/>
      <x:c r="M44" s="3"/>
      <x:c r="N44" s="78"/>
    </x:row>
    <x:row r="45" ht="21" customHeight="1">
      <x:c r="A45" s="3"/>
      <x:c r="B45" s="3"/>
      <x:c r="C45" s="5"/>
      <x:c r="D45" s="5"/>
      <x:c r="E45" s="5"/>
      <x:c r="F45" s="5"/>
      <x:c r="G45" s="5"/>
      <x:c r="H45" s="5"/>
      <x:c r="I45" s="5"/>
      <x:c r="J45" s="5"/>
      <x:c r="K45" s="5"/>
      <x:c r="L45" s="5"/>
      <x:c r="M45" s="3"/>
      <x:c r="N45" s="78"/>
    </x:row>
    <x:row r="46" ht="21" customHeight="1">
      <x:c r="A46" s="6" t="str">
        <x:v>FY2029 earnings per share</x:v>
      </x:c>
      <x:c r="B46" s="3"/>
      <x:c r="C46" s="23" t="n">
        <x:f>'03_Income_Statement'!J17/'10_Historical'!G59</x:f>
        <x:v>28.663893933459665</x:v>
      </x:c>
      <x:c r="D46" s="5"/>
      <x:c r="E46" s="5"/>
      <x:c r="F46" s="5"/>
      <x:c r="G46" s="5"/>
      <x:c r="H46" s="5"/>
      <x:c r="I46" s="5"/>
      <x:c r="J46" s="5"/>
      <x:c r="K46" s="5"/>
      <x:c r="L46" s="5"/>
      <x:c r="M46" s="3"/>
      <x:c r="N46" s="79" t="str">
        <x:v>Axis September 2026 applies 24x FY2029 EPS. This comparison</x:v>
      </x:c>
    </x:row>
    <x:row r="47" ht="21" customHeight="1">
      <x:c r="A47" s="6" t="str">
        <x:v>FY2029 P/E benchmark</x:v>
      </x:c>
      <x:c r="B47" s="3"/>
      <x:c r="C47" s="60" t="n">
        <x:f>'02_Assumptions'!K20</x:f>
        <x:v>24</x:v>
      </x:c>
      <x:c r="D47" s="5"/>
      <x:c r="E47" s="5"/>
      <x:c r="F47" s="5"/>
      <x:c r="G47" s="5"/>
      <x:c r="H47" s="5"/>
      <x:c r="I47" s="5"/>
      <x:c r="J47" s="5"/>
      <x:c r="K47" s="5"/>
      <x:c r="L47" s="5"/>
      <x:c r="M47" s="3"/>
      <x:c r="N47" s="79" t="str">
        <x:v>applies that multiple to this model’s EPS; it is not today’s</x:v>
      </x:c>
    </x:row>
    <x:row r="48" ht="21" customHeight="1">
      <x:c r="A48" s="6" t="str">
        <x:v>FY2029 P/E value (undiscounted)</x:v>
      </x:c>
      <x:c r="B48" s="3"/>
      <x:c r="C48" s="61" t="n">
        <x:f>C46*C47</x:f>
        <x:v>687.933454403032</x:v>
      </x:c>
      <x:c r="D48" s="5"/>
      <x:c r="E48" s="5"/>
      <x:c r="F48" s="5"/>
      <x:c r="G48" s="5"/>
      <x:c r="H48" s="5"/>
      <x:c r="I48" s="5"/>
      <x:c r="J48" s="5"/>
      <x:c r="K48" s="5"/>
      <x:c r="L48" s="5"/>
      <x:c r="M48" s="3"/>
      <x:c r="N48" s="79" t="str">
        <x:v>DCF value or a copied broker target.</x:v>
      </x:c>
    </x:row>
    <x:row r="49" ht="21" customHeight="1">
      <x:c r="A49" s="3"/>
      <x:c r="B49" s="3"/>
      <x:c r="C49" s="5"/>
      <x:c r="D49" s="5"/>
      <x:c r="E49" s="5"/>
      <x:c r="F49" s="5"/>
      <x:c r="G49" s="5"/>
      <x:c r="H49" s="5"/>
      <x:c r="I49" s="5"/>
      <x:c r="J49" s="5"/>
      <x:c r="K49" s="5"/>
      <x:c r="L49" s="5"/>
      <x:c r="M49" s="3"/>
      <x:c r="N49" s="78"/>
    </x:row>
    <x:row r="50" ht="21" customHeight="1">
      <x:c r="A50" s="3"/>
      <x:c r="B50" s="3"/>
      <x:c r="C50" s="5"/>
      <x:c r="D50" s="5"/>
      <x:c r="E50" s="5"/>
      <x:c r="F50" s="5"/>
      <x:c r="G50" s="5"/>
      <x:c r="H50" s="5"/>
      <x:c r="I50" s="5"/>
      <x:c r="J50" s="5"/>
      <x:c r="K50" s="5"/>
      <x:c r="L50" s="5"/>
      <x:c r="M50" s="3"/>
      <x:c r="N50" s="78"/>
    </x:row>
    <x:row r="51" ht="21" customHeight="1">
      <x:c r="A51" s="3"/>
      <x:c r="B51" s="3"/>
      <x:c r="C51" s="5"/>
      <x:c r="D51" s="5"/>
      <x:c r="E51" s="5"/>
      <x:c r="F51" s="5"/>
      <x:c r="G51" s="5"/>
      <x:c r="H51" s="5"/>
      <x:c r="I51" s="5"/>
      <x:c r="J51" s="5"/>
      <x:c r="K51" s="5"/>
      <x:c r="L51" s="5"/>
      <x:c r="M51" s="3"/>
      <x:c r="N51" s="78"/>
    </x:row>
    <x:row r="52" ht="21" customHeight="1">
      <x:c r="A52" s="3"/>
      <x:c r="B52" s="3"/>
      <x:c r="C52" s="5"/>
      <x:c r="D52" s="5"/>
      <x:c r="E52" s="5"/>
      <x:c r="F52" s="5"/>
      <x:c r="G52" s="5"/>
      <x:c r="H52" s="5"/>
      <x:c r="I52" s="5"/>
      <x:c r="J52" s="5"/>
      <x:c r="K52" s="5"/>
      <x:c r="L52" s="5"/>
      <x:c r="M52" s="3"/>
      <x:c r="N52" s="78"/>
    </x:row>
    <x:row r="53" ht="21" customHeight="1">
      <x:c r="A53" s="3"/>
      <x:c r="B53" s="3"/>
      <x:c r="C53" s="5"/>
      <x:c r="D53" s="5"/>
      <x:c r="E53" s="5"/>
      <x:c r="F53" s="5"/>
      <x:c r="G53" s="5"/>
      <x:c r="H53" s="5"/>
      <x:c r="I53" s="5"/>
      <x:c r="J53" s="5"/>
      <x:c r="K53" s="5"/>
      <x:c r="L53" s="5"/>
      <x:c r="M53" s="3"/>
      <x:c r="N53" s="78"/>
    </x:row>
    <x:row r="54" ht="21" customHeight="1">
      <x:c r="A54" s="3"/>
      <x:c r="B54" s="3"/>
      <x:c r="C54" s="5"/>
      <x:c r="D54" s="5"/>
      <x:c r="E54" s="5"/>
      <x:c r="F54" s="5"/>
      <x:c r="G54" s="5"/>
      <x:c r="H54" s="5"/>
      <x:c r="I54" s="5"/>
      <x:c r="J54" s="5"/>
      <x:c r="K54" s="5"/>
      <x:c r="L54" s="5"/>
      <x:c r="M54" s="3"/>
      <x:c r="N54" s="78"/>
    </x:row>
    <x:row r="55" ht="21" customHeight="1">
      <x:c r="A55" s="3"/>
      <x:c r="B55" s="3"/>
      <x:c r="C55" s="5"/>
      <x:c r="D55" s="5"/>
      <x:c r="E55" s="5"/>
      <x:c r="F55" s="5"/>
      <x:c r="G55" s="5"/>
      <x:c r="H55" s="5"/>
      <x:c r="I55" s="5"/>
      <x:c r="J55" s="5"/>
      <x:c r="K55" s="5"/>
      <x:c r="L55" s="5"/>
      <x:c r="M55" s="3"/>
      <x:c r="N55" s="78"/>
    </x:row>
    <x:row r="56" ht="21" customHeight="1">
      <x:c r="A56" s="3"/>
      <x:c r="B56" s="3"/>
      <x:c r="C56" s="5"/>
      <x:c r="D56" s="5"/>
      <x:c r="E56" s="5"/>
      <x:c r="F56" s="5"/>
      <x:c r="G56" s="5"/>
      <x:c r="H56" s="5"/>
      <x:c r="I56" s="5"/>
      <x:c r="J56" s="5"/>
      <x:c r="K56" s="5"/>
      <x:c r="L56" s="5"/>
      <x:c r="M56" s="3"/>
      <x:c r="N56" s="78"/>
    </x:row>
    <x:row r="57" ht="21" customHeight="1">
      <x:c r="A57" s="3"/>
      <x:c r="B57" s="3"/>
      <x:c r="C57" s="5"/>
      <x:c r="D57" s="5"/>
      <x:c r="E57" s="5"/>
      <x:c r="F57" s="5"/>
      <x:c r="G57" s="5"/>
      <x:c r="H57" s="5"/>
      <x:c r="I57" s="5"/>
      <x:c r="J57" s="5"/>
      <x:c r="K57" s="5"/>
      <x:c r="L57" s="5"/>
      <x:c r="M57" s="3"/>
      <x:c r="N57" s="78"/>
    </x:row>
    <x:row r="58" ht="21" customHeight="1">
      <x:c r="A58" s="3"/>
      <x:c r="B58" s="3"/>
      <x:c r="C58" s="5"/>
      <x:c r="D58" s="5"/>
      <x:c r="E58" s="5"/>
      <x:c r="F58" s="5"/>
      <x:c r="G58" s="5"/>
      <x:c r="H58" s="5"/>
      <x:c r="I58" s="5"/>
      <x:c r="J58" s="5"/>
      <x:c r="K58" s="5"/>
      <x:c r="L58" s="5"/>
      <x:c r="M58" s="3"/>
      <x:c r="N58" s="78"/>
    </x:row>
    <x:row r="59" ht="21" customHeight="1">
      <x:c r="A59" s="3"/>
      <x:c r="B59" s="3"/>
      <x:c r="C59" s="5"/>
      <x:c r="D59" s="5"/>
      <x:c r="E59" s="5"/>
      <x:c r="F59" s="5"/>
      <x:c r="G59" s="5"/>
      <x:c r="H59" s="5"/>
      <x:c r="I59" s="5"/>
      <x:c r="J59" s="5"/>
      <x:c r="K59" s="5"/>
      <x:c r="L59" s="5"/>
      <x:c r="M59" s="3"/>
      <x:c r="N59" s="78"/>
    </x:row>
    <x:row r="60" ht="21" customHeight="1">
      <x:c r="A60" s="3"/>
      <x:c r="B60" s="3"/>
      <x:c r="C60" s="5"/>
      <x:c r="D60" s="5"/>
      <x:c r="E60" s="5"/>
      <x:c r="F60" s="5"/>
      <x:c r="G60" s="5"/>
      <x:c r="H60" s="5"/>
      <x:c r="I60" s="5"/>
      <x:c r="J60" s="5"/>
      <x:c r="K60" s="5"/>
      <x:c r="L60" s="5"/>
      <x:c r="M60" s="3"/>
      <x:c r="N60" s="78"/>
    </x:row>
    <x:row r="61" ht="21" customHeight="1">
      <x:c r="A61" s="3"/>
      <x:c r="B61" s="3"/>
      <x:c r="C61" s="5"/>
      <x:c r="D61" s="5"/>
      <x:c r="E61" s="5"/>
      <x:c r="F61" s="5"/>
      <x:c r="G61" s="5"/>
      <x:c r="H61" s="5"/>
      <x:c r="I61" s="5"/>
      <x:c r="J61" s="5"/>
      <x:c r="K61" s="5"/>
      <x:c r="L61" s="5"/>
      <x:c r="M61" s="3"/>
      <x:c r="N61" s="78"/>
    </x:row>
    <x:row r="62" ht="21" customHeight="1">
      <x:c r="A62" s="3"/>
      <x:c r="B62" s="3"/>
      <x:c r="C62" s="5"/>
      <x:c r="D62" s="5"/>
      <x:c r="E62" s="5"/>
      <x:c r="F62" s="5"/>
      <x:c r="G62" s="5"/>
      <x:c r="H62" s="5"/>
      <x:c r="I62" s="5"/>
      <x:c r="J62" s="5"/>
      <x:c r="K62" s="5"/>
      <x:c r="L62" s="5"/>
      <x:c r="M62" s="3"/>
      <x:c r="N62" s="78"/>
    </x:row>
    <x:row r="63" ht="21" customHeight="1">
      <x:c r="A63" s="3"/>
      <x:c r="B63" s="3"/>
      <x:c r="C63" s="5"/>
      <x:c r="D63" s="5"/>
      <x:c r="E63" s="5"/>
      <x:c r="F63" s="5"/>
      <x:c r="G63" s="5"/>
      <x:c r="H63" s="5"/>
      <x:c r="I63" s="5"/>
      <x:c r="J63" s="5"/>
      <x:c r="K63" s="5"/>
      <x:c r="L63" s="5"/>
      <x:c r="M63" s="3"/>
      <x:c r="N63" s="78"/>
    </x:row>
    <x:row r="64" ht="21" customHeight="1">
      <x:c r="A64" s="3"/>
      <x:c r="B64" s="3"/>
      <x:c r="C64" s="5"/>
      <x:c r="D64" s="5"/>
      <x:c r="E64" s="5"/>
      <x:c r="F64" s="5"/>
      <x:c r="G64" s="5"/>
      <x:c r="H64" s="5"/>
      <x:c r="I64" s="5"/>
      <x:c r="J64" s="5"/>
      <x:c r="K64" s="5"/>
      <x:c r="L64" s="5"/>
      <x:c r="M64" s="3"/>
      <x:c r="N64" s="78"/>
    </x:row>
    <x:row r="65" ht="21" customHeight="1">
      <x:c r="A65" s="3"/>
      <x:c r="B65" s="3"/>
      <x:c r="C65" s="5"/>
      <x:c r="D65" s="5"/>
      <x:c r="E65" s="5"/>
      <x:c r="F65" s="5"/>
      <x:c r="G65" s="5"/>
      <x:c r="H65" s="5"/>
      <x:c r="I65" s="5"/>
      <x:c r="J65" s="5"/>
      <x:c r="K65" s="5"/>
      <x:c r="L65" s="5"/>
      <x:c r="M65" s="3"/>
      <x:c r="N65" s="78"/>
    </x:row>
    <x:row r="66" ht="21" customHeight="1">
      <x:c r="A66" s="3"/>
      <x:c r="B66" s="3"/>
      <x:c r="C66" s="5"/>
      <x:c r="D66" s="5"/>
      <x:c r="E66" s="5"/>
      <x:c r="F66" s="5"/>
      <x:c r="G66" s="5"/>
      <x:c r="H66" s="5"/>
      <x:c r="I66" s="5"/>
      <x:c r="J66" s="5"/>
      <x:c r="K66" s="5"/>
      <x:c r="L66" s="5"/>
      <x:c r="M66" s="3"/>
      <x:c r="N66" s="78"/>
    </x:row>
    <x:row r="67" ht="21" customHeight="1">
      <x:c r="A67" s="3"/>
      <x:c r="B67" s="3"/>
      <x:c r="C67" s="5"/>
      <x:c r="D67" s="5"/>
      <x:c r="E67" s="5"/>
      <x:c r="F67" s="5"/>
      <x:c r="G67" s="5"/>
      <x:c r="H67" s="5"/>
      <x:c r="I67" s="5"/>
      <x:c r="J67" s="5"/>
      <x:c r="K67" s="5"/>
      <x:c r="L67" s="5"/>
      <x:c r="M67" s="3"/>
      <x:c r="N67" s="78"/>
    </x:row>
    <x:row r="68" ht="21" customHeight="1">
      <x:c r="A68" s="3"/>
      <x:c r="B68" s="3"/>
      <x:c r="C68" s="5"/>
      <x:c r="D68" s="5"/>
      <x:c r="E68" s="5"/>
      <x:c r="F68" s="5"/>
      <x:c r="G68" s="5"/>
      <x:c r="H68" s="5"/>
      <x:c r="I68" s="5"/>
      <x:c r="J68" s="5"/>
      <x:c r="K68" s="5"/>
      <x:c r="L68" s="5"/>
      <x:c r="M68" s="3"/>
      <x:c r="N68" s="78"/>
    </x:row>
    <x:row r="69" ht="21" customHeight="1">
      <x:c r="A69" s="3"/>
      <x:c r="B69" s="3"/>
      <x:c r="C69" s="5"/>
      <x:c r="D69" s="5"/>
      <x:c r="E69" s="5"/>
      <x:c r="F69" s="5"/>
      <x:c r="G69" s="5"/>
      <x:c r="H69" s="5"/>
      <x:c r="I69" s="5"/>
      <x:c r="J69" s="5"/>
      <x:c r="K69" s="5"/>
      <x:c r="L69" s="5"/>
      <x:c r="M69" s="3"/>
      <x:c r="N69" s="78"/>
    </x:row>
    <x:row r="70" ht="21" customHeight="1">
      <x:c r="A70" s="3"/>
      <x:c r="B70" s="3"/>
      <x:c r="C70" s="5"/>
      <x:c r="D70" s="5"/>
      <x:c r="E70" s="5"/>
      <x:c r="F70" s="5"/>
      <x:c r="G70" s="5"/>
      <x:c r="H70" s="5"/>
      <x:c r="I70" s="5"/>
      <x:c r="J70" s="5"/>
      <x:c r="K70" s="5"/>
      <x:c r="L70" s="5"/>
      <x:c r="M70" s="3"/>
      <x:c r="N70" s="78"/>
    </x:row>
    <x:row r="71" ht="21" customHeight="1">
      <x:c r="A71" s="3"/>
      <x:c r="B71" s="3"/>
      <x:c r="C71" s="5"/>
      <x:c r="D71" s="5"/>
      <x:c r="E71" s="5"/>
      <x:c r="F71" s="5"/>
      <x:c r="G71" s="5"/>
      <x:c r="H71" s="5"/>
      <x:c r="I71" s="5"/>
      <x:c r="J71" s="5"/>
      <x:c r="K71" s="5"/>
      <x:c r="L71" s="5"/>
      <x:c r="M71" s="3"/>
      <x:c r="N71" s="78"/>
    </x:row>
    <x:row r="72" ht="21" customHeight="1">
      <x:c r="A72" s="3"/>
      <x:c r="B72" s="3"/>
      <x:c r="C72" s="5"/>
      <x:c r="D72" s="5"/>
      <x:c r="E72" s="5"/>
      <x:c r="F72" s="5"/>
      <x:c r="G72" s="5"/>
      <x:c r="H72" s="5"/>
      <x:c r="I72" s="5"/>
      <x:c r="J72" s="5"/>
      <x:c r="K72" s="5"/>
      <x:c r="L72" s="5"/>
      <x:c r="M72" s="3"/>
      <x:c r="N72" s="78"/>
    </x:row>
    <x:row r="73" ht="21" customHeight="1">
      <x:c r="A73" s="3"/>
      <x:c r="B73" s="3"/>
      <x:c r="C73" s="5"/>
      <x:c r="D73" s="5"/>
      <x:c r="E73" s="5"/>
      <x:c r="F73" s="5"/>
      <x:c r="G73" s="5"/>
      <x:c r="H73" s="5"/>
      <x:c r="I73" s="5"/>
      <x:c r="J73" s="5"/>
      <x:c r="K73" s="5"/>
      <x:c r="L73" s="5"/>
      <x:c r="M73" s="3"/>
      <x:c r="N73" s="78"/>
    </x:row>
    <x:row r="74" ht="21" customHeight="1">
      <x:c r="A74" s="3"/>
      <x:c r="B74" s="3"/>
      <x:c r="C74" s="5"/>
      <x:c r="D74" s="5"/>
      <x:c r="E74" s="5"/>
      <x:c r="F74" s="5"/>
      <x:c r="G74" s="5"/>
      <x:c r="H74" s="5"/>
      <x:c r="I74" s="5"/>
      <x:c r="J74" s="5"/>
      <x:c r="K74" s="5"/>
      <x:c r="L74" s="5"/>
      <x:c r="M74" s="3"/>
      <x:c r="N74" s="78"/>
    </x:row>
    <x:row r="75" ht="21" customHeight="1">
      <x:c r="A75" s="3"/>
      <x:c r="B75" s="3"/>
      <x:c r="C75" s="5"/>
      <x:c r="D75" s="5"/>
      <x:c r="E75" s="5"/>
      <x:c r="F75" s="5"/>
      <x:c r="G75" s="5"/>
      <x:c r="H75" s="5"/>
      <x:c r="I75" s="5"/>
      <x:c r="J75" s="5"/>
      <x:c r="K75" s="5"/>
      <x:c r="L75" s="5"/>
      <x:c r="M75" s="3"/>
      <x:c r="N75" s="78"/>
    </x:row>
    <x:row r="76" ht="21" customHeight="1">
      <x:c r="A76" s="3"/>
      <x:c r="B76" s="3"/>
      <x:c r="C76" s="5"/>
      <x:c r="D76" s="5"/>
      <x:c r="E76" s="5"/>
      <x:c r="F76" s="5"/>
      <x:c r="G76" s="5"/>
      <x:c r="H76" s="5"/>
      <x:c r="I76" s="5"/>
      <x:c r="J76" s="5"/>
      <x:c r="K76" s="5"/>
      <x:c r="L76" s="5"/>
      <x:c r="M76" s="3"/>
      <x:c r="N76" s="78"/>
    </x:row>
    <x:row r="77" ht="21" customHeight="1">
      <x:c r="A77" s="3"/>
      <x:c r="B77" s="3"/>
      <x:c r="C77" s="5"/>
      <x:c r="D77" s="5"/>
      <x:c r="E77" s="5"/>
      <x:c r="F77" s="5"/>
      <x:c r="G77" s="5"/>
      <x:c r="H77" s="5"/>
      <x:c r="I77" s="5"/>
      <x:c r="J77" s="5"/>
      <x:c r="K77" s="5"/>
      <x:c r="L77" s="5"/>
      <x:c r="M77" s="3"/>
      <x:c r="N77" s="78"/>
    </x:row>
    <x:row r="78" ht="21" customHeight="1">
      <x:c r="A78" s="3"/>
      <x:c r="B78" s="3"/>
      <x:c r="C78" s="5"/>
      <x:c r="D78" s="5"/>
      <x:c r="E78" s="5"/>
      <x:c r="F78" s="5"/>
      <x:c r="G78" s="5"/>
      <x:c r="H78" s="5"/>
      <x:c r="I78" s="5"/>
      <x:c r="J78" s="5"/>
      <x:c r="K78" s="5"/>
      <x:c r="L78" s="5"/>
      <x:c r="M78" s="3"/>
      <x:c r="N78" s="78"/>
    </x:row>
    <x:row r="79" ht="21" customHeight="1">
      <x:c r="A79" s="3"/>
      <x:c r="B79" s="3"/>
      <x:c r="C79" s="5"/>
      <x:c r="D79" s="5"/>
      <x:c r="E79" s="5"/>
      <x:c r="F79" s="5"/>
      <x:c r="G79" s="5"/>
      <x:c r="H79" s="5"/>
      <x:c r="I79" s="5"/>
      <x:c r="J79" s="5"/>
      <x:c r="K79" s="5"/>
      <x:c r="L79" s="5"/>
      <x:c r="M79" s="3"/>
      <x:c r="N79" s="78"/>
    </x:row>
    <x:row r="80" ht="21" customHeight="1">
      <x:c r="A80" s="3"/>
      <x:c r="B80" s="3"/>
      <x:c r="C80" s="5"/>
      <x:c r="D80" s="5"/>
      <x:c r="E80" s="5"/>
      <x:c r="F80" s="5"/>
      <x:c r="G80" s="5"/>
      <x:c r="H80" s="5"/>
      <x:c r="I80" s="5"/>
      <x:c r="J80" s="5"/>
      <x:c r="K80" s="5"/>
      <x:c r="L80" s="5"/>
      <x:c r="M80" s="3"/>
      <x:c r="N80" s="78"/>
    </x:row>
    <x:row r="81" ht="21" customHeight="1">
      <x:c r="A81" s="3"/>
      <x:c r="B81" s="3"/>
      <x:c r="C81" s="5"/>
      <x:c r="D81" s="5"/>
      <x:c r="E81" s="5"/>
      <x:c r="F81" s="5"/>
      <x:c r="G81" s="5"/>
      <x:c r="H81" s="5"/>
      <x:c r="I81" s="5"/>
      <x:c r="J81" s="5"/>
      <x:c r="K81" s="5"/>
      <x:c r="L81" s="5"/>
      <x:c r="M81" s="3"/>
      <x:c r="N81" s="78"/>
    </x:row>
    <x:row r="82" ht="21" customHeight="1">
      <x:c r="A82" s="3"/>
      <x:c r="B82" s="3"/>
      <x:c r="C82" s="5"/>
      <x:c r="D82" s="5"/>
      <x:c r="E82" s="5"/>
      <x:c r="F82" s="5"/>
      <x:c r="G82" s="5"/>
      <x:c r="H82" s="5"/>
      <x:c r="I82" s="5"/>
      <x:c r="J82" s="5"/>
      <x:c r="K82" s="5"/>
      <x:c r="L82" s="5"/>
      <x:c r="M82" s="3"/>
      <x:c r="N82" s="78"/>
    </x:row>
    <x:row r="83" ht="21" customHeight="1">
      <x:c r="A83" s="3"/>
      <x:c r="B83" s="3"/>
      <x:c r="C83" s="5"/>
      <x:c r="D83" s="5"/>
      <x:c r="E83" s="5"/>
      <x:c r="F83" s="5"/>
      <x:c r="G83" s="5"/>
      <x:c r="H83" s="5"/>
      <x:c r="I83" s="5"/>
      <x:c r="J83" s="5"/>
      <x:c r="K83" s="5"/>
      <x:c r="L83" s="5"/>
      <x:c r="M83" s="3"/>
      <x:c r="N83" s="78"/>
    </x:row>
    <x:row r="84" ht="21" customHeight="1">
      <x:c r="A84" s="3"/>
      <x:c r="B84" s="3"/>
      <x:c r="C84" s="5"/>
      <x:c r="D84" s="5"/>
      <x:c r="E84" s="5"/>
      <x:c r="F84" s="5"/>
      <x:c r="G84" s="5"/>
      <x:c r="H84" s="5"/>
      <x:c r="I84" s="5"/>
      <x:c r="J84" s="5"/>
      <x:c r="K84" s="5"/>
      <x:c r="L84" s="5"/>
      <x:c r="M84" s="3"/>
      <x:c r="N84" s="78"/>
    </x:row>
    <x:row r="85" ht="21" customHeight="1">
      <x:c r="A85" s="3"/>
      <x:c r="B85" s="3"/>
      <x:c r="C85" s="5"/>
      <x:c r="D85" s="5"/>
      <x:c r="E85" s="5"/>
      <x:c r="F85" s="5"/>
      <x:c r="G85" s="5"/>
      <x:c r="H85" s="5"/>
      <x:c r="I85" s="5"/>
      <x:c r="J85" s="5"/>
      <x:c r="K85" s="5"/>
      <x:c r="L85" s="5"/>
      <x:c r="M85" s="3"/>
      <x:c r="N85" s="78"/>
    </x:row>
    <x:row r="86" ht="21" customHeight="1">
      <x:c r="A86" s="3"/>
      <x:c r="B86" s="3"/>
      <x:c r="C86" s="5"/>
      <x:c r="D86" s="5"/>
      <x:c r="E86" s="5"/>
      <x:c r="F86" s="5"/>
      <x:c r="G86" s="5"/>
      <x:c r="H86" s="5"/>
      <x:c r="I86" s="5"/>
      <x:c r="J86" s="5"/>
      <x:c r="K86" s="5"/>
      <x:c r="L86" s="5"/>
      <x:c r="M86" s="3"/>
      <x:c r="N86" s="78"/>
    </x:row>
    <x:row r="87" ht="21" customHeight="1">
      <x:c r="A87" s="3"/>
      <x:c r="B87" s="3"/>
      <x:c r="C87" s="5"/>
      <x:c r="D87" s="5"/>
      <x:c r="E87" s="5"/>
      <x:c r="F87" s="5"/>
      <x:c r="G87" s="5"/>
      <x:c r="H87" s="5"/>
      <x:c r="I87" s="5"/>
      <x:c r="J87" s="5"/>
      <x:c r="K87" s="5"/>
      <x:c r="L87" s="5"/>
      <x:c r="M87" s="3"/>
      <x:c r="N87" s="78"/>
    </x:row>
    <x:row r="88" ht="21" customHeight="1">
      <x:c r="A88" s="3"/>
      <x:c r="B88" s="3"/>
      <x:c r="C88" s="5"/>
      <x:c r="D88" s="5"/>
      <x:c r="E88" s="5"/>
      <x:c r="F88" s="5"/>
      <x:c r="G88" s="5"/>
      <x:c r="H88" s="5"/>
      <x:c r="I88" s="5"/>
      <x:c r="J88" s="5"/>
      <x:c r="K88" s="5"/>
      <x:c r="L88" s="5"/>
      <x:c r="M88" s="3"/>
      <x:c r="N88" s="78"/>
    </x:row>
    <x:row r="89" ht="21" customHeight="1">
      <x:c r="A89" s="3"/>
      <x:c r="B89" s="3"/>
      <x:c r="C89" s="5"/>
      <x:c r="D89" s="5"/>
      <x:c r="E89" s="5"/>
      <x:c r="F89" s="5"/>
      <x:c r="G89" s="5"/>
      <x:c r="H89" s="5"/>
      <x:c r="I89" s="5"/>
      <x:c r="J89" s="5"/>
      <x:c r="K89" s="5"/>
      <x:c r="L89" s="5"/>
      <x:c r="M89" s="3"/>
      <x:c r="N89" s="78"/>
    </x:row>
    <x:row r="90" ht="21" customHeight="1">
      <x:c r="A90" s="3"/>
      <x:c r="B90" s="3"/>
      <x:c r="C90" s="5"/>
      <x:c r="D90" s="5"/>
      <x:c r="E90" s="5"/>
      <x:c r="F90" s="5"/>
      <x:c r="G90" s="5"/>
      <x:c r="H90" s="5"/>
      <x:c r="I90" s="5"/>
      <x:c r="J90" s="5"/>
      <x:c r="K90" s="5"/>
      <x:c r="L90" s="5"/>
      <x:c r="M90" s="3"/>
      <x:c r="N90" s="78"/>
    </x:row>
    <x:row r="91" ht="21" customHeight="1">
      <x:c r="A91" s="3"/>
      <x:c r="B91" s="3"/>
      <x:c r="C91" s="5"/>
      <x:c r="D91" s="5"/>
      <x:c r="E91" s="5"/>
      <x:c r="F91" s="5"/>
      <x:c r="G91" s="5"/>
      <x:c r="H91" s="5"/>
      <x:c r="I91" s="5"/>
      <x:c r="J91" s="5"/>
      <x:c r="K91" s="5"/>
      <x:c r="L91" s="5"/>
      <x:c r="M91" s="3"/>
      <x:c r="N91" s="78"/>
    </x:row>
    <x:row r="92" ht="21" customHeight="1">
      <x:c r="A92" s="3"/>
      <x:c r="B92" s="3"/>
      <x:c r="C92" s="5"/>
      <x:c r="D92" s="5"/>
      <x:c r="E92" s="5"/>
      <x:c r="F92" s="5"/>
      <x:c r="G92" s="5"/>
      <x:c r="H92" s="5"/>
      <x:c r="I92" s="5"/>
      <x:c r="J92" s="5"/>
      <x:c r="K92" s="5"/>
      <x:c r="L92" s="5"/>
      <x:c r="M92" s="3"/>
      <x:c r="N92" s="78"/>
    </x:row>
    <x:row r="93" ht="21" customHeight="1">
      <x:c r="A93" s="3"/>
      <x:c r="B93" s="3"/>
      <x:c r="C93" s="5"/>
      <x:c r="D93" s="5"/>
      <x:c r="E93" s="5"/>
      <x:c r="F93" s="5"/>
      <x:c r="G93" s="5"/>
      <x:c r="H93" s="5"/>
      <x:c r="I93" s="5"/>
      <x:c r="J93" s="5"/>
      <x:c r="K93" s="5"/>
      <x:c r="L93" s="5"/>
      <x:c r="M93" s="3"/>
      <x:c r="N93" s="78"/>
    </x:row>
    <x:row r="94" ht="21" customHeight="1">
      <x:c r="A94" s="3"/>
      <x:c r="B94" s="3"/>
      <x:c r="C94" s="5"/>
      <x:c r="D94" s="5"/>
      <x:c r="E94" s="5"/>
      <x:c r="F94" s="5"/>
      <x:c r="G94" s="5"/>
      <x:c r="H94" s="5"/>
      <x:c r="I94" s="5"/>
      <x:c r="J94" s="5"/>
      <x:c r="K94" s="5"/>
      <x:c r="L94" s="5"/>
      <x:c r="M94" s="3"/>
      <x:c r="N94" s="78"/>
    </x:row>
    <x:row r="95" ht="21" customHeight="1">
      <x:c r="A95" s="3"/>
      <x:c r="B95" s="3"/>
      <x:c r="C95" s="5"/>
      <x:c r="D95" s="5"/>
      <x:c r="E95" s="5"/>
      <x:c r="F95" s="5"/>
      <x:c r="G95" s="5"/>
      <x:c r="H95" s="5"/>
      <x:c r="I95" s="5"/>
      <x:c r="J95" s="5"/>
      <x:c r="K95" s="5"/>
      <x:c r="L95" s="5"/>
      <x:c r="M95" s="3"/>
      <x:c r="N95" s="78"/>
    </x:row>
    <x:row r="96" ht="21" customHeight="1">
      <x:c r="A96" s="3"/>
      <x:c r="B96" s="3"/>
      <x:c r="C96" s="5"/>
      <x:c r="D96" s="5"/>
      <x:c r="E96" s="5"/>
      <x:c r="F96" s="5"/>
      <x:c r="G96" s="5"/>
      <x:c r="H96" s="5"/>
      <x:c r="I96" s="5"/>
      <x:c r="J96" s="5"/>
      <x:c r="K96" s="5"/>
      <x:c r="L96" s="5"/>
      <x:c r="M96" s="3"/>
      <x:c r="N96" s="78"/>
    </x:row>
    <x:row r="97" ht="21" customHeight="1">
      <x:c r="A97" s="3"/>
      <x:c r="B97" s="3"/>
      <x:c r="C97" s="5"/>
      <x:c r="D97" s="5"/>
      <x:c r="E97" s="5"/>
      <x:c r="F97" s="5"/>
      <x:c r="G97" s="5"/>
      <x:c r="H97" s="5"/>
      <x:c r="I97" s="5"/>
      <x:c r="J97" s="5"/>
      <x:c r="K97" s="5"/>
      <x:c r="L97" s="5"/>
      <x:c r="M97" s="3"/>
      <x:c r="N97" s="78"/>
    </x:row>
    <x:row r="98" ht="21" customHeight="1">
      <x:c r="A98" s="3"/>
      <x:c r="B98" s="3"/>
      <x:c r="C98" s="5"/>
      <x:c r="D98" s="5"/>
      <x:c r="E98" s="5"/>
      <x:c r="F98" s="5"/>
      <x:c r="G98" s="5"/>
      <x:c r="H98" s="5"/>
      <x:c r="I98" s="5"/>
      <x:c r="J98" s="5"/>
      <x:c r="K98" s="5"/>
      <x:c r="L98" s="5"/>
      <x:c r="M98" s="3"/>
      <x:c r="N98" s="78"/>
    </x:row>
    <x:row r="99" ht="21" customHeight="1">
      <x:c r="A99" s="3"/>
      <x:c r="B99" s="3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3"/>
      <x:c r="N99" s="78"/>
    </x:row>
    <x:row r="100" ht="21" customHeight="1">
      <x:c r="A100" s="3"/>
      <x:c r="B100" s="3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3"/>
      <x:c r="N100" s="7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3" hidden="0" customWidth="1"/>
    <x:col min="14" max="14" width="58" hidden="0" customWidth="1"/>
  </x:cols>
  <x:sheetData>
    <x:row r="1" ht="21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78"/>
    </x:row>
    <x:row r="2" ht="21" customHeight="1">
      <x:c r="A2" s="8" t="str">
        <x:v>Reverse DCF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78"/>
    </x:row>
    <x:row r="3" ht="21" customHeight="1">
      <x:c r="A3" s="6" t="str">
        <x:v>Consolidated. ₹ crore except per-share values.</x:v>
      </x:c>
      <x:c r="B3" s="3"/>
      <x:c r="C3" s="3"/>
      <x:c r="D3" s="3"/>
      <x:c r="E3" s="3"/>
      <x:c r="F3" s="3"/>
      <x:c r="G3" s="3"/>
      <x:c r="H3" s="6" t="str">
        <x:v>Selected case</x:v>
      </x:c>
      <x:c r="I3" s="3"/>
      <x:c r="J3" s="14" t="str">
        <x:f>'02_Assumptions'!E3</x:f>
        <x:v>Base</x:v>
      </x:c>
      <x:c r="K3" s="3"/>
      <x:c r="L3" s="3"/>
      <x:c r="M3" s="3"/>
      <x:c r="N3" s="78"/>
    </x:row>
    <x:row r="4" ht="21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78"/>
    </x:row>
    <x:row r="5" ht="21" customHeight="1">
      <x:c r="A5" s="6" t="str">
        <x:v>Metric</x:v>
      </x:c>
      <x:c r="B5" s="3"/>
      <x:c r="C5" s="12" t="str">
        <x:v>Value</x:v>
      </x:c>
      <x:c r="D5" s="12"/>
      <x:c r="E5" s="12"/>
      <x:c r="F5" s="12"/>
      <x:c r="G5" s="12"/>
      <x:c r="H5" s="3"/>
      <x:c r="I5" s="3"/>
      <x:c r="J5" s="3"/>
      <x:c r="K5" s="3"/>
      <x:c r="L5" s="3"/>
      <x:c r="M5" s="3"/>
      <x:c r="N5" s="78"/>
    </x:row>
    <x:row r="6" ht="21" customHeight="1">
      <x:c r="A6" s="3"/>
      <x:c r="B6" s="3"/>
      <x:c r="C6" s="5"/>
      <x:c r="D6" s="5"/>
      <x:c r="E6" s="5"/>
      <x:c r="F6" s="5"/>
      <x:c r="G6" s="5"/>
      <x:c r="H6" s="5"/>
      <x:c r="I6" s="5"/>
      <x:c r="J6" s="5"/>
      <x:c r="K6" s="5"/>
      <x:c r="L6" s="5"/>
      <x:c r="M6" s="3"/>
      <x:c r="N6" s="78"/>
    </x:row>
    <x:row r="7" ht="21" customHeight="1">
      <x:c r="A7" s="6" t="str">
        <x:v>Implied operating expectations</x:v>
      </x:c>
      <x:c r="B7" s="3"/>
      <x:c r="C7" s="5"/>
      <x:c r="D7" s="5"/>
      <x:c r="E7" s="5"/>
      <x:c r="F7" s="5"/>
      <x:c r="G7" s="5"/>
      <x:c r="H7" s="5"/>
      <x:c r="I7" s="5"/>
      <x:c r="J7" s="5"/>
      <x:c r="K7" s="5"/>
      <x:c r="L7" s="5"/>
      <x:c r="M7" s="3"/>
      <x:c r="N7" s="78"/>
    </x:row>
    <x:row r="8" ht="21" customHeight="1">
      <x:c r="A8" s="6" t="str">
        <x:v>Reference share price (INR)</x:v>
      </x:c>
      <x:c r="B8" s="3"/>
      <x:c r="C8" s="13" t="n">
        <x:f>'02_Assumptions'!$K$15</x:f>
        <x:v>756.5</x:v>
      </x:c>
      <x:c r="D8" s="5"/>
      <x:c r="E8" s="5"/>
      <x:c r="F8" s="5"/>
      <x:c r="G8" s="5"/>
      <x:c r="H8" s="5"/>
      <x:c r="I8" s="5"/>
      <x:c r="J8" s="5"/>
      <x:c r="K8" s="5"/>
      <x:c r="L8" s="5"/>
      <x:c r="M8" s="3"/>
      <x:c r="N8" s="79" t="str">
        <x:v>Solves one common EBITDA-margin uplift across the forecast</x:v>
      </x:c>
    </x:row>
    <x:row r="9" ht="21" customHeight="1">
      <x:c r="A9" s="6" t="str">
        <x:v>Shares outstanding (crore)</x:v>
      </x:c>
      <x:c r="B9" s="3"/>
      <x:c r="C9" s="13" t="n">
        <x:f>'10_Historical'!G59</x:f>
        <x:v>12.1881498</x:v>
      </x:c>
      <x:c r="D9" s="5"/>
      <x:c r="E9" s="5"/>
      <x:c r="F9" s="5"/>
      <x:c r="G9" s="5"/>
      <x:c r="H9" s="5"/>
      <x:c r="I9" s="5"/>
      <x:c r="J9" s="5"/>
      <x:c r="K9" s="5"/>
      <x:c r="L9" s="5"/>
      <x:c r="M9" s="3"/>
      <x:c r="N9" s="79" t="str">
        <x:v>years to match the reference price. Revenue, capex, working</x:v>
      </x:c>
    </x:row>
    <x:row r="10" ht="21" customHeight="1">
      <x:c r="A10" s="6" t="str">
        <x:v>Reference equity value</x:v>
      </x:c>
      <x:c r="B10" s="3"/>
      <x:c r="C10" s="5" t="n">
        <x:f>C8*C9</x:f>
        <x:v>9220.3353237</x:v>
      </x:c>
      <x:c r="D10" s="5"/>
      <x:c r="E10" s="5"/>
      <x:c r="F10" s="5"/>
      <x:c r="G10" s="5"/>
      <x:c r="H10" s="5"/>
      <x:c r="I10" s="5"/>
      <x:c r="J10" s="5"/>
      <x:c r="K10" s="5"/>
      <x:c r="L10" s="5"/>
      <x:c r="M10" s="3"/>
      <x:c r="N10" s="79" t="str">
        <x:v>capital, tax and valuation parameters remain fixed.</x:v>
      </x:c>
    </x:row>
    <x:row r="11" ht="21" customHeight="1">
      <x:c r="A11" s="6" t="str">
        <x:v>Debt and other claims, less excess cash</x:v>
      </x:c>
      <x:c r="B11" s="3"/>
      <x:c r="C11" s="13" t="n">
        <x:f>'08_DCF'!C30+'08_DCF'!C32-'08_DCF'!C31</x:f>
        <x:v>335.2159999999999</x:v>
      </x:c>
      <x:c r="D11" s="5"/>
      <x:c r="E11" s="5"/>
      <x:c r="F11" s="5"/>
      <x:c r="G11" s="5"/>
      <x:c r="H11" s="5"/>
      <x:c r="I11" s="5"/>
      <x:c r="J11" s="5"/>
      <x:c r="K11" s="5"/>
      <x:c r="L11" s="5"/>
      <x:c r="M11" s="3"/>
      <x:c r="N11" s="78"/>
    </x:row>
    <x:row r="12" ht="21" customHeight="1">
      <x:c r="A12" s="6" t="str">
        <x:v>Reference enterprise value</x:v>
      </x:c>
      <x:c r="B12" s="3"/>
      <x:c r="C12" s="5" t="n">
        <x:f>SUM(C10:C11)</x:f>
        <x:v>9555.5513237</x:v>
      </x:c>
      <x:c r="D12" s="5"/>
      <x:c r="E12" s="5"/>
      <x:c r="F12" s="5"/>
      <x:c r="G12" s="5"/>
      <x:c r="H12" s="5"/>
      <x:c r="I12" s="5"/>
      <x:c r="J12" s="5"/>
      <x:c r="K12" s="5"/>
      <x:c r="L12" s="5"/>
      <x:c r="M12" s="3"/>
      <x:c r="N12" s="78"/>
    </x:row>
    <x:row r="13" ht="21" customHeight="1">
      <x:c r="A13" s="6" t="str">
        <x:v>Base DCF enterprise value</x:v>
      </x:c>
      <x:c r="B13" s="3"/>
      <x:c r="C13" s="13" t="n">
        <x:f>'08_DCF'!C29</x:f>
        <x:v>2582.89653713354</x:v>
      </x:c>
      <x:c r="D13" s="5"/>
      <x:c r="E13" s="5"/>
      <x:c r="F13" s="5"/>
      <x:c r="G13" s="5"/>
      <x:c r="H13" s="5"/>
      <x:c r="I13" s="5"/>
      <x:c r="J13" s="5"/>
      <x:c r="K13" s="5"/>
      <x:c r="L13" s="5"/>
      <x:c r="M13" s="3"/>
      <x:c r="N13" s="78"/>
    </x:row>
    <x:row r="14" ht="21" customHeight="1">
      <x:c r="A14" s="6" t="str">
        <x:v>EV increase per 1 percentage-point margin</x:v>
      </x:c>
      <x:c r="B14" s="3"/>
      <x:c r="C14" s="5" t="n">
        <x:f>SUM(C28:G28)+C31</x:f>
        <x:v>384.058884820199</x:v>
      </x:c>
      <x:c r="D14" s="5"/>
      <x:c r="E14" s="5"/>
      <x:c r="F14" s="5"/>
      <x:c r="G14" s="5"/>
      <x:c r="H14" s="5"/>
      <x:c r="I14" s="5"/>
      <x:c r="J14" s="5"/>
      <x:c r="K14" s="5"/>
      <x:c r="L14" s="5"/>
      <x:c r="M14" s="3"/>
      <x:c r="N14" s="78"/>
    </x:row>
    <x:row r="15" ht="21" customHeight="1">
      <x:c r="A15" s="6" t="str">
        <x:v>Required EBITDA-margin uplift (points)</x:v>
      </x:c>
      <x:c r="B15" s="3"/>
      <x:c r="C15" s="24" t="n">
        <x:f>(C12-C13)/C14/100</x:f>
        <x:v>0.18155171152545468</x:v>
      </x:c>
      <x:c r="D15" s="5"/>
      <x:c r="E15" s="5"/>
      <x:c r="F15" s="5"/>
      <x:c r="G15" s="5"/>
      <x:c r="H15" s="5"/>
      <x:c r="I15" s="5"/>
      <x:c r="J15" s="5"/>
      <x:c r="K15" s="5"/>
      <x:c r="L15" s="5"/>
      <x:c r="M15" s="3"/>
      <x:c r="N15" s="78"/>
    </x:row>
    <x:row r="16" ht="21" customHeight="1">
      <x:c r="A16" s="6" t="str">
        <x:v>Implied FY2031 EBITDA margin</x:v>
      </x:c>
      <x:c r="B16" s="3"/>
      <x:c r="C16" s="38" t="n">
        <x:f>'02_Assumptions'!L70+C15</x:f>
        <x:v>0.2995517115254547</x:v>
      </x:c>
      <x:c r="D16" s="5"/>
      <x:c r="E16" s="5"/>
      <x:c r="F16" s="5"/>
      <x:c r="G16" s="5"/>
      <x:c r="H16" s="5"/>
      <x:c r="I16" s="5"/>
      <x:c r="J16" s="5"/>
      <x:c r="K16" s="5"/>
      <x:c r="L16" s="5"/>
      <x:c r="M16" s="3"/>
      <x:c r="N16" s="79" t="str">
        <x:v>The required terminal margin is a conditional valuation</x:v>
      </x:c>
    </x:row>
    <x:row r="17" ht="21" customHeight="1">
      <x:c r="A17" s="6" t="str">
        <x:v>Reverse DCF enterprise value</x:v>
      </x:c>
      <x:c r="B17" s="3"/>
      <x:c r="C17" s="5" t="n">
        <x:f>SUM(C38:G38)+C41</x:f>
        <x:v>9555.551323699998</x:v>
      </x:c>
      <x:c r="D17" s="5"/>
      <x:c r="E17" s="5"/>
      <x:c r="F17" s="5"/>
      <x:c r="G17" s="5"/>
      <x:c r="H17" s="5"/>
      <x:c r="I17" s="5"/>
      <x:c r="J17" s="5"/>
      <x:c r="K17" s="5"/>
      <x:c r="L17" s="5"/>
      <x:c r="M17" s="3"/>
      <x:c r="N17" s="79" t="str">
        <x:v>result, not a forecast or management guidance.</x:v>
      </x:c>
    </x:row>
    <x:row r="18" ht="21" customHeight="1">
      <x:c r="A18" s="6" t="str">
        <x:v>Difference to reference enterprise value</x:v>
      </x:c>
      <x:c r="B18" s="3"/>
      <x:c r="C18" s="5" t="n">
        <x:f>ROUND(C17-C12,8)</x:f>
        <x:v>0</x:v>
      </x:c>
      <x:c r="D18" s="5"/>
      <x:c r="E18" s="5"/>
      <x:c r="F18" s="5"/>
      <x:c r="G18" s="5"/>
      <x:c r="H18" s="5"/>
      <x:c r="I18" s="5"/>
      <x:c r="J18" s="5"/>
      <x:c r="K18" s="5"/>
      <x:c r="L18" s="5"/>
      <x:c r="M18" s="3"/>
      <x:c r="N18" s="78"/>
    </x:row>
    <x:row r="19" ht="21" customHeight="1">
      <x:c r="A19" s="3"/>
      <x:c r="B19" s="3"/>
      <x:c r="C19" s="5"/>
      <x:c r="D19" s="5"/>
      <x:c r="E19" s="5"/>
      <x:c r="F19" s="5"/>
      <x:c r="G19" s="5"/>
      <x:c r="H19" s="5"/>
      <x:c r="I19" s="5"/>
      <x:c r="J19" s="5"/>
      <x:c r="K19" s="5"/>
      <x:c r="L19" s="5"/>
      <x:c r="M19" s="3"/>
      <x:c r="N19" s="78"/>
    </x:row>
    <x:row r="20" ht="21" customHeight="1">
      <x:c r="A20" s="3"/>
      <x:c r="B20" s="3"/>
      <x:c r="C20" s="5"/>
      <x:c r="D20" s="5"/>
      <x:c r="E20" s="5"/>
      <x:c r="F20" s="5"/>
      <x:c r="G20" s="5"/>
      <x:c r="H20" s="5"/>
      <x:c r="I20" s="5"/>
      <x:c r="J20" s="5"/>
      <x:c r="K20" s="5"/>
      <x:c r="L20" s="5"/>
      <x:c r="M20" s="3"/>
      <x:c r="N20" s="78"/>
    </x:row>
    <x:row r="21" ht="21" customHeight="1">
      <x:c r="A21" s="6" t="str">
        <x:v>Margin sensitivity and implied cash flows</x:v>
      </x:c>
      <x:c r="B21" s="3"/>
      <x:c r="C21" s="5"/>
      <x:c r="D21" s="5"/>
      <x:c r="E21" s="5"/>
      <x:c r="F21" s="5"/>
      <x:c r="G21" s="5"/>
      <x:c r="H21" s="5"/>
      <x:c r="I21" s="5"/>
      <x:c r="J21" s="5"/>
      <x:c r="K21" s="5"/>
      <x:c r="L21" s="5"/>
      <x:c r="M21" s="3"/>
      <x:c r="N21" s="78"/>
    </x:row>
    <x:row r="22" ht="21" customHeight="1">
      <x:c r="A22" s="3"/>
      <x:c r="B22" s="3"/>
      <x:c r="C22" s="27" t="str">
        <x:v>FY2027E</x:v>
      </x:c>
      <x:c r="D22" s="27" t="str">
        <x:v>FY2028E</x:v>
      </x:c>
      <x:c r="E22" s="27" t="str">
        <x:v>FY2029E</x:v>
      </x:c>
      <x:c r="F22" s="27" t="str">
        <x:v>FY2030E</x:v>
      </x:c>
      <x:c r="G22" s="27" t="str">
        <x:v>FY2031E</x:v>
      </x:c>
      <x:c r="H22" s="5"/>
      <x:c r="I22" s="5"/>
      <x:c r="J22" s="5"/>
      <x:c r="K22" s="5"/>
      <x:c r="L22" s="5"/>
      <x:c r="M22" s="3"/>
      <x:c r="N22" s="78"/>
    </x:row>
    <x:row r="23" ht="21" customHeight="1">
      <x:c r="A23" s="3"/>
      <x:c r="B23" s="3"/>
      <x:c r="C23" s="5"/>
      <x:c r="D23" s="5"/>
      <x:c r="E23" s="5"/>
      <x:c r="F23" s="5"/>
      <x:c r="G23" s="5"/>
      <x:c r="H23" s="5"/>
      <x:c r="I23" s="5"/>
      <x:c r="J23" s="5"/>
      <x:c r="K23" s="5"/>
      <x:c r="L23" s="5"/>
      <x:c r="M23" s="3"/>
      <x:c r="N23" s="78"/>
    </x:row>
    <x:row r="24" ht="21" customHeight="1">
      <x:c r="A24" s="6" t="str">
        <x:v>Revenue held constant</x:v>
      </x:c>
      <x:c r="B24" s="3"/>
      <x:c r="C24" s="13" t="n">
        <x:f>'03_Income_Statement'!H8</x:f>
        <x:v>4478.666000000001</x:v>
      </x:c>
      <x:c r="D24" s="13" t="n">
        <x:f>'03_Income_Statement'!I8</x:f>
        <x:v>5031.74172</x:v>
      </x:c>
      <x:c r="E24" s="13" t="n">
        <x:f>'03_Income_Statement'!J8</x:f>
        <x:v>5608.8385384</x:v>
      </x:c>
      <x:c r="F24" s="13" t="n">
        <x:f>'03_Income_Statement'!K8</x:f>
        <x:v>6205.677245968</x:v>
      </x:c>
      <x:c r="G24" s="13" t="n">
        <x:f>'03_Income_Statement'!L8</x:f>
        <x:v>6818.61226091776</x:v>
      </x:c>
      <x:c r="H24" s="5"/>
      <x:c r="I24" s="5"/>
      <x:c r="J24" s="5"/>
      <x:c r="K24" s="5"/>
      <x:c r="L24" s="5"/>
      <x:c r="M24" s="3"/>
      <x:c r="N24" s="78"/>
    </x:row>
    <x:row r="25" ht="21" customHeight="1">
      <x:c r="A25" s="6" t="str">
        <x:v>Tax rate</x:v>
      </x:c>
      <x:c r="B25" s="3"/>
      <x:c r="C25" s="38" t="n">
        <x:f>'02_Assumptions'!H74</x:f>
        <x:v>0.25168</x:v>
      </x:c>
      <x:c r="D25" s="38" t="n">
        <x:f>'02_Assumptions'!I74</x:f>
        <x:v>0.25168</x:v>
      </x:c>
      <x:c r="E25" s="38" t="n">
        <x:f>'02_Assumptions'!J74</x:f>
        <x:v>0.25168</x:v>
      </x:c>
      <x:c r="F25" s="38" t="n">
        <x:f>'02_Assumptions'!K74</x:f>
        <x:v>0.25168</x:v>
      </x:c>
      <x:c r="G25" s="38" t="n">
        <x:f>'02_Assumptions'!L74</x:f>
        <x:v>0.25168</x:v>
      </x:c>
      <x:c r="H25" s="5"/>
      <x:c r="I25" s="5"/>
      <x:c r="J25" s="5"/>
      <x:c r="K25" s="5"/>
      <x:c r="L25" s="5"/>
      <x:c r="M25" s="3"/>
      <x:c r="N25" s="78"/>
    </x:row>
    <x:row r="26" ht="21" customHeight="1">
      <x:c r="A26" s="6" t="str">
        <x:v>Discount factor</x:v>
      </x:c>
      <x:c r="B26" s="3"/>
      <x:c r="C26" s="53" t="n">
        <x:f>'08_DCF'!C16</x:f>
        <x:v>0.9402265609807368</x:v>
      </x:c>
      <x:c r="D26" s="53" t="n">
        <x:f>'08_DCF'!D16</x:f>
        <x:v>0.8357569430939883</x:v>
      </x:c>
      <x:c r="E26" s="53" t="n">
        <x:f>'08_DCF'!E16</x:f>
        <x:v>0.7428950605279895</x:v>
      </x:c>
      <x:c r="F26" s="53" t="n">
        <x:f>'08_DCF'!F16</x:f>
        <x:v>0.6603511649137684</x:v>
      </x:c>
      <x:c r="G26" s="53" t="n">
        <x:f>'08_DCF'!G16</x:f>
        <x:v>0.5869788132566831</x:v>
      </x:c>
      <x:c r="H26" s="5"/>
      <x:c r="I26" s="5"/>
      <x:c r="J26" s="5"/>
      <x:c r="K26" s="5"/>
      <x:c r="L26" s="5"/>
      <x:c r="M26" s="3"/>
      <x:c r="N26" s="78"/>
    </x:row>
    <x:row r="27" ht="21" customHeight="1">
      <x:c r="A27" s="6" t="str">
        <x:v>FCF increase per 1 margin percentage point</x:v>
      </x:c>
      <x:c r="B27" s="3"/>
      <x:c r="C27" s="5" t="n">
        <x:f>C24*(1-C25)/100</x:f>
        <x:v>33.51475341120001</x:v>
      </x:c>
      <x:c r="D27" s="5" t="n">
        <x:f>D24*(1-D25)/100</x:f>
        <x:v>37.653529639104</x:v>
      </x:c>
      <x:c r="E27" s="5" t="n">
        <x:f>E24*(1-E25)/100</x:f>
        <x:v>41.97206055055488</x:v>
      </x:c>
      <x:c r="F27" s="5" t="n">
        <x:f>F24*(1-F25)/100</x:f>
        <x:v>46.438323967027735</x:v>
      </x:c>
      <x:c r="G27" s="5" t="n">
        <x:f>G24*(1-G25)/100</x:f>
        <x:v>51.02503927089978</x:v>
      </x:c>
      <x:c r="H27" s="5"/>
      <x:c r="I27" s="5"/>
      <x:c r="J27" s="5"/>
      <x:c r="K27" s="5"/>
      <x:c r="L27" s="5"/>
      <x:c r="M27" s="3"/>
      <x:c r="N27" s="78"/>
    </x:row>
    <x:row r="28" ht="21" customHeight="1">
      <x:c r="A28" s="6" t="str">
        <x:v>PV of increase</x:v>
      </x:c>
      <x:c r="B28" s="3"/>
      <x:c r="C28" s="13" t="n">
        <x:f>C27*C26*'08_DCF'!$C$15</x:f>
        <x:v>16.48955922276337</x:v>
      </x:c>
      <x:c r="D28" s="5" t="n">
        <x:f>D27*D26*1</x:f>
        <x:v>31.469198827876443</x:v>
      </x:c>
      <x:c r="E28" s="5" t="n">
        <x:f>E27*E26*1</x:f>
        <x:v>31.180836463188907</x:v>
      </x:c>
      <x:c r="F28" s="5" t="n">
        <x:f>F27*F26*1</x:f>
        <x:v>30.665601328269737</x:v>
      </x:c>
      <x:c r="G28" s="5" t="n">
        <x:f>G27*G26*1</x:f>
        <x:v>29.950616997608407</x:v>
      </x:c>
      <x:c r="H28" s="5"/>
      <x:c r="I28" s="5"/>
      <x:c r="J28" s="5"/>
      <x:c r="K28" s="5"/>
      <x:c r="L28" s="5"/>
      <x:c r="M28" s="3"/>
      <x:c r="N28" s="78"/>
    </x:row>
    <x:row r="29" ht="21" customHeight="1">
      <x:c r="A29" s="3"/>
      <x:c r="B29" s="3"/>
      <x:c r="C29" s="5"/>
      <x:c r="D29" s="5"/>
      <x:c r="E29" s="5"/>
      <x:c r="F29" s="5"/>
      <x:c r="G29" s="5"/>
      <x:c r="H29" s="5"/>
      <x:c r="I29" s="5"/>
      <x:c r="J29" s="5"/>
      <x:c r="K29" s="5"/>
      <x:c r="L29" s="5"/>
      <x:c r="M29" s="3"/>
      <x:c r="N29" s="78"/>
    </x:row>
    <x:row r="30" ht="21" customHeight="1">
      <x:c r="A30" s="6" t="str">
        <x:v>Terminal FCF increase per 1 percentage point</x:v>
      </x:c>
      <x:c r="B30" s="3"/>
      <x:c r="C30" s="13" t="n">
        <x:f>G24*(1-G25)/100*(1+'08_DCF'!C23)*(1-'08_DCF'!C26)</x:f>
        <x:v>35.37736056115718</x:v>
      </x:c>
      <x:c r="D30" s="5"/>
      <x:c r="E30" s="5"/>
      <x:c r="F30" s="5"/>
      <x:c r="G30" s="5"/>
      <x:c r="H30" s="5"/>
      <x:c r="I30" s="5"/>
      <x:c r="J30" s="5"/>
      <x:c r="K30" s="5"/>
      <x:c r="L30" s="5"/>
      <x:c r="M30" s="3"/>
      <x:c r="N30" s="78"/>
    </x:row>
    <x:row r="31" ht="21" customHeight="1">
      <x:c r="A31" s="6" t="str">
        <x:v>PV of terminal increase</x:v>
      </x:c>
      <x:c r="B31" s="3"/>
      <x:c r="C31" s="13" t="n">
        <x:f>C30/('08_DCF'!C22-'08_DCF'!C23)*G26</x:f>
        <x:v>244.30307198049212</x:v>
      </x:c>
      <x:c r="D31" s="5"/>
      <x:c r="E31" s="5"/>
      <x:c r="F31" s="5"/>
      <x:c r="G31" s="5"/>
      <x:c r="H31" s="5"/>
      <x:c r="I31" s="5"/>
      <x:c r="J31" s="5"/>
      <x:c r="K31" s="5"/>
      <x:c r="L31" s="5"/>
      <x:c r="M31" s="3"/>
      <x:c r="N31" s="78"/>
    </x:row>
    <x:row r="32" ht="21" customHeight="1">
      <x:c r="A32" s="3"/>
      <x:c r="B32" s="3"/>
      <x:c r="C32" s="5"/>
      <x:c r="D32" s="5"/>
      <x:c r="E32" s="5"/>
      <x:c r="F32" s="5"/>
      <x:c r="G32" s="5"/>
      <x:c r="H32" s="5"/>
      <x:c r="I32" s="5"/>
      <x:c r="J32" s="5"/>
      <x:c r="K32" s="5"/>
      <x:c r="L32" s="5"/>
      <x:c r="M32" s="3"/>
      <x:c r="N32" s="78"/>
    </x:row>
    <x:row r="33" ht="21" customHeight="1">
      <x:c r="A33" s="3"/>
      <x:c r="B33" s="3"/>
      <x:c r="C33" s="5"/>
      <x:c r="D33" s="5"/>
      <x:c r="E33" s="5"/>
      <x:c r="F33" s="5"/>
      <x:c r="G33" s="5"/>
      <x:c r="H33" s="5"/>
      <x:c r="I33" s="5"/>
      <x:c r="J33" s="5"/>
      <x:c r="K33" s="5"/>
      <x:c r="L33" s="5"/>
      <x:c r="M33" s="3"/>
      <x:c r="N33" s="78"/>
    </x:row>
    <x:row r="34" ht="21" customHeight="1">
      <x:c r="A34" s="6" t="str">
        <x:v>Implied EBITDA margin</x:v>
      </x:c>
      <x:c r="B34" s="3"/>
      <x:c r="C34" s="38" t="n">
        <x:f>'02_Assumptions'!H70+$C$15</x:f>
        <x:v>0.2945517115254547</x:v>
      </x:c>
      <x:c r="D34" s="38" t="n">
        <x:f>'02_Assumptions'!I70+$C$15</x:f>
        <x:v>0.2958017115254547</x:v>
      </x:c>
      <x:c r="E34" s="38" t="n">
        <x:f>'02_Assumptions'!J70+$C$15</x:f>
        <x:v>0.2970517115254547</x:v>
      </x:c>
      <x:c r="F34" s="38" t="n">
        <x:f>'02_Assumptions'!K70+$C$15</x:f>
        <x:v>0.2983017115254547</x:v>
      </x:c>
      <x:c r="G34" s="38" t="n">
        <x:f>'02_Assumptions'!L70+$C$15</x:f>
        <x:v>0.2995517115254547</x:v>
      </x:c>
      <x:c r="H34" s="5"/>
      <x:c r="I34" s="5"/>
      <x:c r="J34" s="5"/>
      <x:c r="K34" s="5"/>
      <x:c r="L34" s="5"/>
      <x:c r="M34" s="3"/>
      <x:c r="N34" s="78"/>
    </x:row>
    <x:row r="35" ht="21" customHeight="1">
      <x:c r="A35" s="6" t="str">
        <x:v>Base unlevered free cash flow</x:v>
      </x:c>
      <x:c r="B35" s="3"/>
      <x:c r="C35" s="13" t="n">
        <x:f>'08_DCF'!C14</x:f>
        <x:v>-36.047599917439925</x:v>
      </x:c>
      <x:c r="D35" s="13" t="n">
        <x:f>'08_DCF'!D14</x:f>
        <x:v>16.38271690812337</x:v>
      </x:c>
      <x:c r="E35" s="13" t="n">
        <x:f>'08_DCF'!E14</x:f>
        <x:v>140.62801742204653</x:v>
      </x:c>
      <x:c r="F35" s="13" t="n">
        <x:f>'08_DCF'!F14</x:f>
        <x:v>168.29625908505824</x:v>
      </x:c>
      <x:c r="G35" s="13" t="n">
        <x:f>'08_DCF'!G14</x:f>
        <x:v>196.04007061089868</x:v>
      </x:c>
      <x:c r="H35" s="5"/>
      <x:c r="I35" s="5"/>
      <x:c r="J35" s="5"/>
      <x:c r="K35" s="5"/>
      <x:c r="L35" s="5"/>
      <x:c r="M35" s="3"/>
      <x:c r="N35" s="78"/>
    </x:row>
    <x:row r="36" ht="21" customHeight="1">
      <x:c r="A36" s="6" t="str">
        <x:v>Incremental cash flow from margin uplift</x:v>
      </x:c>
      <x:c r="B36" s="3"/>
      <x:c r="C36" s="5" t="n">
        <x:f>C27*$C$15*100</x:f>
        <x:v>608.4660843156934</x:v>
      </x:c>
      <x:c r="D36" s="5" t="n">
        <x:f>D27*$C$15*100</x:f>
        <x:v>683.6062750953768</x:v>
      </x:c>
      <x:c r="E36" s="5" t="n">
        <x:f>E27*$C$15*100</x:f>
        <x:v>762.0099429203256</x:v>
      </x:c>
      <x:c r="F36" s="5" t="n">
        <x:f>F27*$C$15*100</x:f>
        <x:v>843.0957196587428</x:v>
      </x:c>
      <x:c r="G36" s="5" t="n">
        <x:f>G27*$C$15*100</x:f>
        <x:v>926.3683210285393</x:v>
      </x:c>
      <x:c r="H36" s="5"/>
      <x:c r="I36" s="5"/>
      <x:c r="J36" s="5"/>
      <x:c r="K36" s="5"/>
      <x:c r="L36" s="5"/>
      <x:c r="M36" s="3"/>
      <x:c r="N36" s="78"/>
    </x:row>
    <x:row r="37" ht="21" customHeight="1">
      <x:c r="A37" s="6" t="str">
        <x:v>Implied unlevered free cash flow</x:v>
      </x:c>
      <x:c r="B37" s="3"/>
      <x:c r="C37" s="5" t="n">
        <x:f>SUM(C35:C36)</x:f>
        <x:v>572.4184843982534</x:v>
      </x:c>
      <x:c r="D37" s="5" t="n">
        <x:f>SUM(D35:D36)</x:f>
        <x:v>699.9889920035001</x:v>
      </x:c>
      <x:c r="E37" s="5" t="n">
        <x:f>SUM(E35:E36)</x:f>
        <x:v>902.637960342372</x:v>
      </x:c>
      <x:c r="F37" s="5" t="n">
        <x:f>SUM(F35:F36)</x:f>
        <x:v>1011.391978743801</x:v>
      </x:c>
      <x:c r="G37" s="5" t="n">
        <x:f>SUM(G35:G36)</x:f>
        <x:v>1122.408391639438</x:v>
      </x:c>
      <x:c r="H37" s="5"/>
      <x:c r="I37" s="5"/>
      <x:c r="J37" s="5"/>
      <x:c r="K37" s="5"/>
      <x:c r="L37" s="5"/>
      <x:c r="M37" s="3"/>
      <x:c r="N37" s="78"/>
    </x:row>
    <x:row r="38" ht="21" customHeight="1">
      <x:c r="A38" s="6" t="str">
        <x:v>PV of implied cash flow</x:v>
      </x:c>
      <x:c r="B38" s="3"/>
      <x:c r="C38" s="13" t="n">
        <x:f>C37*C26*'08_DCF'!$C$15</x:f>
        <x:v>281.6350275021011</x:v>
      </x:c>
      <x:c r="D38" s="5" t="n">
        <x:f>D37*D26*1</x:f>
        <x:v>585.0206601562875</x:v>
      </x:c>
      <x:c r="E38" s="5" t="n">
        <x:f>E37*E26*1</x:f>
        <x:v>670.5652821834075</x:v>
      </x:c>
      <x:c r="F38" s="5" t="n">
        <x:f>F37*F26*1</x:f>
        <x:v>667.8738713479104</x:v>
      </x:c>
      <x:c r="G38" s="5" t="n">
        <x:f>G37*G26*1</x:f>
        <x:v>658.8299457138596</x:v>
      </x:c>
      <x:c r="H38" s="5"/>
      <x:c r="I38" s="5"/>
      <x:c r="J38" s="5"/>
      <x:c r="K38" s="5"/>
      <x:c r="L38" s="5"/>
      <x:c r="M38" s="3"/>
      <x:c r="N38" s="78"/>
    </x:row>
    <x:row r="39" ht="21" customHeight="1">
      <x:c r="A39" s="3"/>
      <x:c r="B39" s="3"/>
      <x:c r="C39" s="5"/>
      <x:c r="D39" s="5"/>
      <x:c r="E39" s="5"/>
      <x:c r="F39" s="5"/>
      <x:c r="G39" s="5"/>
      <x:c r="H39" s="5"/>
      <x:c r="I39" s="5"/>
      <x:c r="J39" s="5"/>
      <x:c r="K39" s="5"/>
      <x:c r="L39" s="5"/>
      <x:c r="M39" s="3"/>
      <x:c r="N39" s="78"/>
    </x:row>
    <x:row r="40" ht="21" customHeight="1">
      <x:c r="A40" s="6" t="str">
        <x:v>Implied terminal free cash flow</x:v>
      </x:c>
      <x:c r="B40" s="3"/>
      <x:c r="C40" s="13" t="n">
        <x:f>'08_DCF'!C27+C30*$C$15*100</x:f>
        <x:v>969.0098565430985</x:v>
      </x:c>
      <x:c r="D40" s="5"/>
      <x:c r="E40" s="5"/>
      <x:c r="F40" s="5"/>
      <x:c r="G40" s="5"/>
      <x:c r="H40" s="5"/>
      <x:c r="I40" s="5"/>
      <x:c r="J40" s="5"/>
      <x:c r="K40" s="5"/>
      <x:c r="L40" s="5"/>
      <x:c r="M40" s="3"/>
      <x:c r="N40" s="78"/>
    </x:row>
    <x:row r="41" ht="21" customHeight="1">
      <x:c r="A41" s="6" t="str">
        <x:v>PV of implied terminal cash flow</x:v>
      </x:c>
      <x:c r="B41" s="3"/>
      <x:c r="C41" s="13" t="n">
        <x:f>C40/('08_DCF'!C22-'08_DCF'!C23)*G26</x:f>
        <x:v>6691.626536796432</x:v>
      </x:c>
      <x:c r="D41" s="5"/>
      <x:c r="E41" s="5"/>
      <x:c r="F41" s="5"/>
      <x:c r="G41" s="5"/>
      <x:c r="H41" s="5"/>
      <x:c r="I41" s="5"/>
      <x:c r="J41" s="5"/>
      <x:c r="K41" s="5"/>
      <x:c r="L41" s="5"/>
      <x:c r="M41" s="3"/>
      <x:c r="N41" s="78"/>
    </x:row>
    <x:row r="42" ht="21" customHeight="1">
      <x:c r="A42" s="3"/>
      <x:c r="B42" s="3"/>
      <x:c r="C42" s="5"/>
      <x:c r="D42" s="5"/>
      <x:c r="E42" s="5"/>
      <x:c r="F42" s="5"/>
      <x:c r="G42" s="5"/>
      <x:c r="H42" s="5"/>
      <x:c r="I42" s="5"/>
      <x:c r="J42" s="5"/>
      <x:c r="K42" s="5"/>
      <x:c r="L42" s="5"/>
      <x:c r="M42" s="3"/>
      <x:c r="N42" s="78"/>
    </x:row>
    <x:row r="43" ht="21" customHeight="1">
      <x:c r="A43" s="3"/>
      <x:c r="B43" s="3"/>
      <x:c r="C43" s="5"/>
      <x:c r="D43" s="5"/>
      <x:c r="E43" s="5"/>
      <x:c r="F43" s="5"/>
      <x:c r="G43" s="5"/>
      <x:c r="H43" s="5"/>
      <x:c r="I43" s="5"/>
      <x:c r="J43" s="5"/>
      <x:c r="K43" s="5"/>
      <x:c r="L43" s="5"/>
      <x:c r="M43" s="3"/>
      <x:c r="N43" s="78"/>
    </x:row>
    <x:row r="44" ht="21" customHeight="1">
      <x:c r="A44" s="3"/>
      <x:c r="B44" s="3"/>
      <x:c r="C44" s="5"/>
      <x:c r="D44" s="5"/>
      <x:c r="E44" s="5"/>
      <x:c r="F44" s="5"/>
      <x:c r="G44" s="5"/>
      <x:c r="H44" s="5"/>
      <x:c r="I44" s="5"/>
      <x:c r="J44" s="5"/>
      <x:c r="K44" s="5"/>
      <x:c r="L44" s="5"/>
      <x:c r="M44" s="3"/>
      <x:c r="N44" s="78"/>
    </x:row>
    <x:row r="45" ht="21" customHeight="1">
      <x:c r="A45" s="3"/>
      <x:c r="B45" s="3"/>
      <x:c r="C45" s="5"/>
      <x:c r="D45" s="5"/>
      <x:c r="E45" s="5"/>
      <x:c r="F45" s="5"/>
      <x:c r="G45" s="5"/>
      <x:c r="H45" s="5"/>
      <x:c r="I45" s="5"/>
      <x:c r="J45" s="5"/>
      <x:c r="K45" s="5"/>
      <x:c r="L45" s="5"/>
      <x:c r="M45" s="3"/>
      <x:c r="N45" s="78"/>
    </x:row>
    <x:row r="46" ht="21" customHeight="1">
      <x:c r="A46" s="3"/>
      <x:c r="B46" s="3"/>
      <x:c r="C46" s="5"/>
      <x:c r="D46" s="5"/>
      <x:c r="E46" s="5"/>
      <x:c r="F46" s="5"/>
      <x:c r="G46" s="5"/>
      <x:c r="H46" s="5"/>
      <x:c r="I46" s="5"/>
      <x:c r="J46" s="5"/>
      <x:c r="K46" s="5"/>
      <x:c r="L46" s="5"/>
      <x:c r="M46" s="3"/>
      <x:c r="N46" s="78"/>
    </x:row>
    <x:row r="47" ht="21" customHeight="1">
      <x:c r="A47" s="3"/>
      <x:c r="B47" s="3"/>
      <x:c r="C47" s="5"/>
      <x:c r="D47" s="5"/>
      <x:c r="E47" s="5"/>
      <x:c r="F47" s="5"/>
      <x:c r="G47" s="5"/>
      <x:c r="H47" s="5"/>
      <x:c r="I47" s="5"/>
      <x:c r="J47" s="5"/>
      <x:c r="K47" s="5"/>
      <x:c r="L47" s="5"/>
      <x:c r="M47" s="3"/>
      <x:c r="N47" s="78"/>
    </x:row>
    <x:row r="48" ht="21" customHeight="1">
      <x:c r="A48" s="3"/>
      <x:c r="B48" s="3"/>
      <x:c r="C48" s="5"/>
      <x:c r="D48" s="5"/>
      <x:c r="E48" s="5"/>
      <x:c r="F48" s="5"/>
      <x:c r="G48" s="5"/>
      <x:c r="H48" s="5"/>
      <x:c r="I48" s="5"/>
      <x:c r="J48" s="5"/>
      <x:c r="K48" s="5"/>
      <x:c r="L48" s="5"/>
      <x:c r="M48" s="3"/>
      <x:c r="N48" s="78"/>
    </x:row>
    <x:row r="49" ht="21" customHeight="1">
      <x:c r="A49" s="3"/>
      <x:c r="B49" s="3"/>
      <x:c r="C49" s="5"/>
      <x:c r="D49" s="5"/>
      <x:c r="E49" s="5"/>
      <x:c r="F49" s="5"/>
      <x:c r="G49" s="5"/>
      <x:c r="H49" s="5"/>
      <x:c r="I49" s="5"/>
      <x:c r="J49" s="5"/>
      <x:c r="K49" s="5"/>
      <x:c r="L49" s="5"/>
      <x:c r="M49" s="3"/>
      <x:c r="N49" s="78"/>
    </x:row>
    <x:row r="50" ht="21" customHeight="1">
      <x:c r="A50"/>
      <x:c r="B50"/>
      <x:c r="C50"/>
      <x:c r="D50"/>
      <x:c r="E50"/>
      <x:c r="F50"/>
      <x:c r="G50"/>
      <x:c r="H50"/>
      <x:c r="I50"/>
      <x:c r="J50"/>
      <x:c r="K50"/>
      <x:c r="L50"/>
      <x:c r="M50" s="3"/>
      <x:c r="N50" s="78"/>
    </x:row>
    <x:row r="51" ht="21" customHeight="1">
      <x:c r="A51"/>
      <x:c r="B51"/>
      <x:c r="C51"/>
      <x:c r="D51"/>
      <x:c r="E51"/>
      <x:c r="F51"/>
      <x:c r="G51"/>
      <x:c r="H51"/>
      <x:c r="I51"/>
      <x:c r="J51"/>
      <x:c r="K51"/>
      <x:c r="L51"/>
      <x:c r="M51" s="3"/>
      <x:c r="N51" s="78"/>
    </x:row>
    <x:row r="52" ht="21" customHeight="1">
      <x:c r="A52" s="3"/>
      <x:c r="B52" s="3"/>
      <x:c r="C52" s="5"/>
      <x:c r="D52" s="5"/>
      <x:c r="E52" s="5"/>
      <x:c r="F52" s="5"/>
      <x:c r="G52" s="5"/>
      <x:c r="H52" s="5"/>
      <x:c r="I52" s="5"/>
      <x:c r="J52" s="5"/>
      <x:c r="K52" s="5"/>
      <x:c r="L52" s="5"/>
      <x:c r="M52" s="3"/>
      <x:c r="N52" s="78"/>
    </x:row>
    <x:row r="53" ht="21" customHeight="1">
      <x:c r="A53" s="3"/>
      <x:c r="B53" s="3"/>
      <x:c r="C53" s="5"/>
      <x:c r="D53" s="5"/>
      <x:c r="E53" s="5"/>
      <x:c r="F53" s="5"/>
      <x:c r="G53" s="5"/>
      <x:c r="H53" s="5"/>
      <x:c r="I53" s="5"/>
      <x:c r="J53" s="5"/>
      <x:c r="K53" s="5"/>
      <x:c r="L53" s="5"/>
      <x:c r="M53" s="3"/>
      <x:c r="N53" s="78"/>
    </x:row>
    <x:row r="54" ht="21" customHeight="1">
      <x:c r="A54" s="3"/>
      <x:c r="B54" s="3"/>
      <x:c r="C54" s="5"/>
      <x:c r="D54" s="5"/>
      <x:c r="E54" s="5"/>
      <x:c r="F54" s="5"/>
      <x:c r="G54" s="5"/>
      <x:c r="H54" s="5"/>
      <x:c r="I54" s="5"/>
      <x:c r="J54" s="5"/>
      <x:c r="K54" s="5"/>
      <x:c r="L54" s="5"/>
      <x:c r="M54" s="3"/>
      <x:c r="N54" s="78"/>
    </x:row>
    <x:row r="55" ht="21" customHeight="1">
      <x:c r="A55" s="3"/>
      <x:c r="B55" s="3"/>
      <x:c r="C55" s="5"/>
      <x:c r="D55" s="5"/>
      <x:c r="E55" s="5"/>
      <x:c r="F55" s="5"/>
      <x:c r="G55" s="5"/>
      <x:c r="H55" s="5"/>
      <x:c r="I55" s="5"/>
      <x:c r="J55" s="5"/>
      <x:c r="K55" s="5"/>
      <x:c r="L55" s="5"/>
      <x:c r="M55" s="3"/>
      <x:c r="N55" s="78"/>
    </x:row>
    <x:row r="56" ht="21" customHeight="1">
      <x:c r="A56" s="3"/>
      <x:c r="B56" s="3"/>
      <x:c r="C56" s="5"/>
      <x:c r="D56" s="5"/>
      <x:c r="E56" s="5"/>
      <x:c r="F56" s="5"/>
      <x:c r="G56" s="5"/>
      <x:c r="H56" s="5"/>
      <x:c r="I56" s="5"/>
      <x:c r="J56" s="5"/>
      <x:c r="K56" s="5"/>
      <x:c r="L56" s="5"/>
      <x:c r="M56" s="3"/>
      <x:c r="N56" s="78"/>
    </x:row>
    <x:row r="57" ht="21" customHeight="1">
      <x:c r="A57" s="3"/>
      <x:c r="B57" s="3"/>
      <x:c r="C57" s="5"/>
      <x:c r="D57" s="5"/>
      <x:c r="E57" s="5"/>
      <x:c r="F57" s="5"/>
      <x:c r="G57" s="5"/>
      <x:c r="H57" s="5"/>
      <x:c r="I57" s="5"/>
      <x:c r="J57" s="5"/>
      <x:c r="K57" s="5"/>
      <x:c r="L57" s="5"/>
      <x:c r="M57" s="3"/>
      <x:c r="N57" s="78"/>
    </x:row>
    <x:row r="58" ht="21" customHeight="1">
      <x:c r="A58" s="3"/>
      <x:c r="B58" s="3"/>
      <x:c r="C58" s="5"/>
      <x:c r="D58" s="5"/>
      <x:c r="E58" s="5"/>
      <x:c r="F58" s="5"/>
      <x:c r="G58" s="5"/>
      <x:c r="H58" s="5"/>
      <x:c r="I58" s="5"/>
      <x:c r="J58" s="5"/>
      <x:c r="K58" s="5"/>
      <x:c r="L58" s="5"/>
      <x:c r="M58" s="3"/>
      <x:c r="N58" s="78"/>
    </x:row>
    <x:row r="59" ht="21" customHeight="1">
      <x:c r="A59" s="3"/>
      <x:c r="B59" s="3"/>
      <x:c r="C59" s="5"/>
      <x:c r="D59" s="5"/>
      <x:c r="E59" s="5"/>
      <x:c r="F59" s="5"/>
      <x:c r="G59" s="5"/>
      <x:c r="H59" s="5"/>
      <x:c r="I59" s="5"/>
      <x:c r="J59" s="5"/>
      <x:c r="K59" s="5"/>
      <x:c r="L59" s="5"/>
      <x:c r="M59" s="3"/>
      <x:c r="N59" s="78"/>
    </x:row>
    <x:row r="60" ht="21" customHeight="1">
      <x:c r="A60" s="3"/>
      <x:c r="B60" s="3"/>
      <x:c r="C60" s="5"/>
      <x:c r="D60" s="5"/>
      <x:c r="E60" s="5"/>
      <x:c r="F60" s="5"/>
      <x:c r="G60" s="5"/>
      <x:c r="H60" s="5"/>
      <x:c r="I60" s="5"/>
      <x:c r="J60" s="5"/>
      <x:c r="K60" s="5"/>
      <x:c r="L60" s="5"/>
      <x:c r="M60" s="3"/>
      <x:c r="N60" s="78"/>
    </x:row>
    <x:row r="61" ht="21" customHeight="1">
      <x:c r="A61" s="3"/>
      <x:c r="B61" s="3"/>
      <x:c r="C61" s="5"/>
      <x:c r="D61" s="5"/>
      <x:c r="E61" s="5"/>
      <x:c r="F61" s="5"/>
      <x:c r="G61" s="5"/>
      <x:c r="H61" s="5"/>
      <x:c r="I61" s="5"/>
      <x:c r="J61" s="5"/>
      <x:c r="K61" s="5"/>
      <x:c r="L61" s="5"/>
      <x:c r="M61" s="3"/>
      <x:c r="N61" s="78"/>
    </x:row>
    <x:row r="62" ht="21" customHeight="1">
      <x:c r="A62" s="3"/>
      <x:c r="B62" s="3"/>
      <x:c r="C62" s="5"/>
      <x:c r="D62" s="5"/>
      <x:c r="E62" s="5"/>
      <x:c r="F62" s="5"/>
      <x:c r="G62" s="5"/>
      <x:c r="H62" s="5"/>
      <x:c r="I62" s="5"/>
      <x:c r="J62" s="5"/>
      <x:c r="K62" s="5"/>
      <x:c r="L62" s="5"/>
      <x:c r="M62" s="3"/>
      <x:c r="N62" s="78"/>
    </x:row>
    <x:row r="63" ht="21" customHeight="1">
      <x:c r="A63" s="3"/>
      <x:c r="B63" s="3"/>
      <x:c r="C63" s="5"/>
      <x:c r="D63" s="5"/>
      <x:c r="E63" s="5"/>
      <x:c r="F63" s="5"/>
      <x:c r="G63" s="5"/>
      <x:c r="H63" s="5"/>
      <x:c r="I63" s="5"/>
      <x:c r="J63" s="5"/>
      <x:c r="K63" s="5"/>
      <x:c r="L63" s="5"/>
      <x:c r="M63" s="3"/>
      <x:c r="N63" s="78"/>
    </x:row>
    <x:row r="64" ht="21" customHeight="1">
      <x:c r="A64" s="3"/>
      <x:c r="B64" s="3"/>
      <x:c r="C64" s="5"/>
      <x:c r="D64" s="5"/>
      <x:c r="E64" s="5"/>
      <x:c r="F64" s="5"/>
      <x:c r="G64" s="5"/>
      <x:c r="H64" s="5"/>
      <x:c r="I64" s="5"/>
      <x:c r="J64" s="5"/>
      <x:c r="K64" s="5"/>
      <x:c r="L64" s="5"/>
      <x:c r="M64" s="3"/>
      <x:c r="N64" s="78"/>
    </x:row>
    <x:row r="65" ht="21" customHeight="1">
      <x:c r="A65" s="3"/>
      <x:c r="B65" s="3"/>
      <x:c r="C65" s="5"/>
      <x:c r="D65" s="5"/>
      <x:c r="E65" s="5"/>
      <x:c r="F65" s="5"/>
      <x:c r="G65" s="5"/>
      <x:c r="H65" s="5"/>
      <x:c r="I65" s="5"/>
      <x:c r="J65" s="5"/>
      <x:c r="K65" s="5"/>
      <x:c r="L65" s="5"/>
      <x:c r="M65" s="3"/>
      <x:c r="N65" s="78"/>
    </x:row>
    <x:row r="66" ht="21" customHeight="1">
      <x:c r="A66" s="3"/>
      <x:c r="B66" s="3"/>
      <x:c r="C66" s="5"/>
      <x:c r="D66" s="5"/>
      <x:c r="E66" s="5"/>
      <x:c r="F66" s="5"/>
      <x:c r="G66" s="5"/>
      <x:c r="H66" s="5"/>
      <x:c r="I66" s="5"/>
      <x:c r="J66" s="5"/>
      <x:c r="K66" s="5"/>
      <x:c r="L66" s="5"/>
      <x:c r="M66" s="3"/>
      <x:c r="N66" s="78"/>
    </x:row>
    <x:row r="67" ht="21" customHeight="1">
      <x:c r="A67" s="3"/>
      <x:c r="B67" s="3"/>
      <x:c r="C67" s="5"/>
      <x:c r="D67" s="5"/>
      <x:c r="E67" s="5"/>
      <x:c r="F67" s="5"/>
      <x:c r="G67" s="5"/>
      <x:c r="H67" s="5"/>
      <x:c r="I67" s="5"/>
      <x:c r="J67" s="5"/>
      <x:c r="K67" s="5"/>
      <x:c r="L67" s="5"/>
      <x:c r="M67" s="3"/>
      <x:c r="N67" s="78"/>
    </x:row>
    <x:row r="68" ht="21" customHeight="1">
      <x:c r="A68" s="3"/>
      <x:c r="B68" s="3"/>
      <x:c r="C68" s="5"/>
      <x:c r="D68" s="5"/>
      <x:c r="E68" s="5"/>
      <x:c r="F68" s="5"/>
      <x:c r="G68" s="5"/>
      <x:c r="H68" s="5"/>
      <x:c r="I68" s="5"/>
      <x:c r="J68" s="5"/>
      <x:c r="K68" s="5"/>
      <x:c r="L68" s="5"/>
      <x:c r="M68" s="3"/>
      <x:c r="N68" s="78"/>
    </x:row>
    <x:row r="69" ht="21" customHeight="1">
      <x:c r="A69" s="3"/>
      <x:c r="B69" s="3"/>
      <x:c r="C69" s="5"/>
      <x:c r="D69" s="5"/>
      <x:c r="E69" s="5"/>
      <x:c r="F69" s="5"/>
      <x:c r="G69" s="5"/>
      <x:c r="H69" s="5"/>
      <x:c r="I69" s="5"/>
      <x:c r="J69" s="5"/>
      <x:c r="K69" s="5"/>
      <x:c r="L69" s="5"/>
      <x:c r="M69" s="3"/>
      <x:c r="N69" s="78"/>
    </x:row>
    <x:row r="70" ht="21" customHeight="1">
      <x:c r="A70" s="3"/>
      <x:c r="B70" s="3"/>
      <x:c r="C70" s="5"/>
      <x:c r="D70" s="5"/>
      <x:c r="E70" s="5"/>
      <x:c r="F70" s="5"/>
      <x:c r="G70" s="5"/>
      <x:c r="H70" s="5"/>
      <x:c r="I70" s="5"/>
      <x:c r="J70" s="5"/>
      <x:c r="K70" s="5"/>
      <x:c r="L70" s="5"/>
      <x:c r="M70" s="3"/>
      <x:c r="N70" s="78"/>
    </x:row>
    <x:row r="71" ht="21" customHeight="1">
      <x:c r="A71" s="3"/>
      <x:c r="B71" s="3"/>
      <x:c r="C71" s="5"/>
      <x:c r="D71" s="5"/>
      <x:c r="E71" s="5"/>
      <x:c r="F71" s="5"/>
      <x:c r="G71" s="5"/>
      <x:c r="H71" s="5"/>
      <x:c r="I71" s="5"/>
      <x:c r="J71" s="5"/>
      <x:c r="K71" s="5"/>
      <x:c r="L71" s="5"/>
      <x:c r="M71" s="3"/>
      <x:c r="N71" s="78"/>
    </x:row>
    <x:row r="72" ht="21" customHeight="1">
      <x:c r="A72" s="3"/>
      <x:c r="B72" s="3"/>
      <x:c r="C72" s="5"/>
      <x:c r="D72" s="5"/>
      <x:c r="E72" s="5"/>
      <x:c r="F72" s="5"/>
      <x:c r="G72" s="5"/>
      <x:c r="H72" s="5"/>
      <x:c r="I72" s="5"/>
      <x:c r="J72" s="5"/>
      <x:c r="K72" s="5"/>
      <x:c r="L72" s="5"/>
      <x:c r="M72" s="3"/>
      <x:c r="N72" s="78"/>
    </x:row>
    <x:row r="73" ht="21" customHeight="1">
      <x:c r="A73" s="3"/>
      <x:c r="B73" s="3"/>
      <x:c r="C73" s="5"/>
      <x:c r="D73" s="5"/>
      <x:c r="E73" s="5"/>
      <x:c r="F73" s="5"/>
      <x:c r="G73" s="5"/>
      <x:c r="H73" s="5"/>
      <x:c r="I73" s="5"/>
      <x:c r="J73" s="5"/>
      <x:c r="K73" s="5"/>
      <x:c r="L73" s="5"/>
      <x:c r="M73" s="3"/>
      <x:c r="N73" s="78"/>
    </x:row>
    <x:row r="74" ht="21" customHeight="1">
      <x:c r="A74" s="3"/>
      <x:c r="B74" s="3"/>
      <x:c r="C74" s="5"/>
      <x:c r="D74" s="5"/>
      <x:c r="E74" s="5"/>
      <x:c r="F74" s="5"/>
      <x:c r="G74" s="5"/>
      <x:c r="H74" s="5"/>
      <x:c r="I74" s="5"/>
      <x:c r="J74" s="5"/>
      <x:c r="K74" s="5"/>
      <x:c r="L74" s="5"/>
      <x:c r="M74" s="3"/>
      <x:c r="N74" s="78"/>
    </x:row>
    <x:row r="75" ht="21" customHeight="1">
      <x:c r="A75" s="3"/>
      <x:c r="B75" s="3"/>
      <x:c r="C75" s="5"/>
      <x:c r="D75" s="5"/>
      <x:c r="E75" s="5"/>
      <x:c r="F75" s="5"/>
      <x:c r="G75" s="5"/>
      <x:c r="H75" s="5"/>
      <x:c r="I75" s="5"/>
      <x:c r="J75" s="5"/>
      <x:c r="K75" s="5"/>
      <x:c r="L75" s="5"/>
      <x:c r="M75" s="3"/>
      <x:c r="N75" s="78"/>
    </x:row>
    <x:row r="76" ht="21" customHeight="1">
      <x:c r="A76" s="3"/>
      <x:c r="B76" s="3"/>
      <x:c r="C76" s="5"/>
      <x:c r="D76" s="5"/>
      <x:c r="E76" s="5"/>
      <x:c r="F76" s="5"/>
      <x:c r="G76" s="5"/>
      <x:c r="H76" s="5"/>
      <x:c r="I76" s="5"/>
      <x:c r="J76" s="5"/>
      <x:c r="K76" s="5"/>
      <x:c r="L76" s="5"/>
      <x:c r="M76" s="3"/>
      <x:c r="N76" s="78"/>
    </x:row>
    <x:row r="77" ht="21" customHeight="1">
      <x:c r="A77" s="3"/>
      <x:c r="B77" s="3"/>
      <x:c r="C77" s="5"/>
      <x:c r="D77" s="5"/>
      <x:c r="E77" s="5"/>
      <x:c r="F77" s="5"/>
      <x:c r="G77" s="5"/>
      <x:c r="H77" s="5"/>
      <x:c r="I77" s="5"/>
      <x:c r="J77" s="5"/>
      <x:c r="K77" s="5"/>
      <x:c r="L77" s="5"/>
      <x:c r="M77" s="3"/>
      <x:c r="N77" s="78"/>
    </x:row>
    <x:row r="78" ht="21" customHeight="1">
      <x:c r="A78" s="3"/>
      <x:c r="B78" s="3"/>
      <x:c r="C78" s="5"/>
      <x:c r="D78" s="5"/>
      <x:c r="E78" s="5"/>
      <x:c r="F78" s="5"/>
      <x:c r="G78" s="5"/>
      <x:c r="H78" s="5"/>
      <x:c r="I78" s="5"/>
      <x:c r="J78" s="5"/>
      <x:c r="K78" s="5"/>
      <x:c r="L78" s="5"/>
      <x:c r="M78" s="3"/>
      <x:c r="N78" s="78"/>
    </x:row>
    <x:row r="79" ht="21" customHeight="1">
      <x:c r="A79" s="3"/>
      <x:c r="B79" s="3"/>
      <x:c r="C79" s="5"/>
      <x:c r="D79" s="5"/>
      <x:c r="E79" s="5"/>
      <x:c r="F79" s="5"/>
      <x:c r="G79" s="5"/>
      <x:c r="H79" s="5"/>
      <x:c r="I79" s="5"/>
      <x:c r="J79" s="5"/>
      <x:c r="K79" s="5"/>
      <x:c r="L79" s="5"/>
      <x:c r="M79" s="3"/>
      <x:c r="N79" s="78"/>
    </x:row>
    <x:row r="80" ht="21" customHeight="1">
      <x:c r="A80" s="3"/>
      <x:c r="B80" s="3"/>
      <x:c r="C80" s="5"/>
      <x:c r="D80" s="5"/>
      <x:c r="E80" s="5"/>
      <x:c r="F80" s="5"/>
      <x:c r="G80" s="5"/>
      <x:c r="H80" s="5"/>
      <x:c r="I80" s="5"/>
      <x:c r="J80" s="5"/>
      <x:c r="K80" s="5"/>
      <x:c r="L80" s="5"/>
      <x:c r="M80" s="3"/>
      <x:c r="N80" s="78"/>
    </x:row>
    <x:row r="81" ht="21" customHeight="1">
      <x:c r="A81" s="3"/>
      <x:c r="B81" s="3"/>
      <x:c r="C81" s="5"/>
      <x:c r="D81" s="5"/>
      <x:c r="E81" s="5"/>
      <x:c r="F81" s="5"/>
      <x:c r="G81" s="5"/>
      <x:c r="H81" s="5"/>
      <x:c r="I81" s="5"/>
      <x:c r="J81" s="5"/>
      <x:c r="K81" s="5"/>
      <x:c r="L81" s="5"/>
      <x:c r="M81" s="3"/>
      <x:c r="N81" s="78"/>
    </x:row>
    <x:row r="82" ht="21" customHeight="1">
      <x:c r="A82" s="3"/>
      <x:c r="B82" s="3"/>
      <x:c r="C82" s="5"/>
      <x:c r="D82" s="5"/>
      <x:c r="E82" s="5"/>
      <x:c r="F82" s="5"/>
      <x:c r="G82" s="5"/>
      <x:c r="H82" s="5"/>
      <x:c r="I82" s="5"/>
      <x:c r="J82" s="5"/>
      <x:c r="K82" s="5"/>
      <x:c r="L82" s="5"/>
      <x:c r="M82" s="3"/>
      <x:c r="N82" s="78"/>
    </x:row>
    <x:row r="83" ht="21" customHeight="1">
      <x:c r="A83" s="3"/>
      <x:c r="B83" s="3"/>
      <x:c r="C83" s="5"/>
      <x:c r="D83" s="5"/>
      <x:c r="E83" s="5"/>
      <x:c r="F83" s="5"/>
      <x:c r="G83" s="5"/>
      <x:c r="H83" s="5"/>
      <x:c r="I83" s="5"/>
      <x:c r="J83" s="5"/>
      <x:c r="K83" s="5"/>
      <x:c r="L83" s="5"/>
      <x:c r="M83" s="3"/>
      <x:c r="N83" s="78"/>
    </x:row>
    <x:row r="84" ht="21" customHeight="1">
      <x:c r="A84" s="3"/>
      <x:c r="B84" s="3"/>
      <x:c r="C84" s="5"/>
      <x:c r="D84" s="5"/>
      <x:c r="E84" s="5"/>
      <x:c r="F84" s="5"/>
      <x:c r="G84" s="5"/>
      <x:c r="H84" s="5"/>
      <x:c r="I84" s="5"/>
      <x:c r="J84" s="5"/>
      <x:c r="K84" s="5"/>
      <x:c r="L84" s="5"/>
      <x:c r="M84" s="3"/>
      <x:c r="N84" s="78"/>
    </x:row>
    <x:row r="85" ht="21" customHeight="1">
      <x:c r="A85" s="3"/>
      <x:c r="B85" s="3"/>
      <x:c r="C85" s="5"/>
      <x:c r="D85" s="5"/>
      <x:c r="E85" s="5"/>
      <x:c r="F85" s="5"/>
      <x:c r="G85" s="5"/>
      <x:c r="H85" s="5"/>
      <x:c r="I85" s="5"/>
      <x:c r="J85" s="5"/>
      <x:c r="K85" s="5"/>
      <x:c r="L85" s="5"/>
      <x:c r="M85" s="3"/>
      <x:c r="N85" s="78"/>
    </x:row>
    <x:row r="86" ht="21" customHeight="1">
      <x:c r="A86" s="3"/>
      <x:c r="B86" s="3"/>
      <x:c r="C86" s="5"/>
      <x:c r="D86" s="5"/>
      <x:c r="E86" s="5"/>
      <x:c r="F86" s="5"/>
      <x:c r="G86" s="5"/>
      <x:c r="H86" s="5"/>
      <x:c r="I86" s="5"/>
      <x:c r="J86" s="5"/>
      <x:c r="K86" s="5"/>
      <x:c r="L86" s="5"/>
      <x:c r="M86" s="3"/>
      <x:c r="N86" s="78"/>
    </x:row>
    <x:row r="87" ht="21" customHeight="1">
      <x:c r="A87" s="3"/>
      <x:c r="B87" s="3"/>
      <x:c r="C87" s="5"/>
      <x:c r="D87" s="5"/>
      <x:c r="E87" s="5"/>
      <x:c r="F87" s="5"/>
      <x:c r="G87" s="5"/>
      <x:c r="H87" s="5"/>
      <x:c r="I87" s="5"/>
      <x:c r="J87" s="5"/>
      <x:c r="K87" s="5"/>
      <x:c r="L87" s="5"/>
      <x:c r="M87" s="3"/>
      <x:c r="N87" s="78"/>
    </x:row>
    <x:row r="88" ht="21" customHeight="1">
      <x:c r="A88" s="3"/>
      <x:c r="B88" s="3"/>
      <x:c r="C88" s="5"/>
      <x:c r="D88" s="5"/>
      <x:c r="E88" s="5"/>
      <x:c r="F88" s="5"/>
      <x:c r="G88" s="5"/>
      <x:c r="H88" s="5"/>
      <x:c r="I88" s="5"/>
      <x:c r="J88" s="5"/>
      <x:c r="K88" s="5"/>
      <x:c r="L88" s="5"/>
      <x:c r="M88" s="3"/>
      <x:c r="N88" s="78"/>
    </x:row>
    <x:row r="89" ht="21" customHeight="1">
      <x:c r="A89" s="3"/>
      <x:c r="B89" s="3"/>
      <x:c r="C89" s="5"/>
      <x:c r="D89" s="5"/>
      <x:c r="E89" s="5"/>
      <x:c r="F89" s="5"/>
      <x:c r="G89" s="5"/>
      <x:c r="H89" s="5"/>
      <x:c r="I89" s="5"/>
      <x:c r="J89" s="5"/>
      <x:c r="K89" s="5"/>
      <x:c r="L89" s="5"/>
      <x:c r="M89" s="3"/>
      <x:c r="N89" s="78"/>
    </x:row>
    <x:row r="90" ht="21" customHeight="1">
      <x:c r="A90" s="3"/>
      <x:c r="B90" s="3"/>
      <x:c r="C90" s="5"/>
      <x:c r="D90" s="5"/>
      <x:c r="E90" s="5"/>
      <x:c r="F90" s="5"/>
      <x:c r="G90" s="5"/>
      <x:c r="H90" s="5"/>
      <x:c r="I90" s="5"/>
      <x:c r="J90" s="5"/>
      <x:c r="K90" s="5"/>
      <x:c r="L90" s="5"/>
      <x:c r="M90" s="3"/>
      <x:c r="N90" s="78"/>
    </x:row>
    <x:row r="91" ht="21" customHeight="1">
      <x:c r="A91" s="3"/>
      <x:c r="B91" s="3"/>
      <x:c r="C91" s="5"/>
      <x:c r="D91" s="5"/>
      <x:c r="E91" s="5"/>
      <x:c r="F91" s="5"/>
      <x:c r="G91" s="5"/>
      <x:c r="H91" s="5"/>
      <x:c r="I91" s="5"/>
      <x:c r="J91" s="5"/>
      <x:c r="K91" s="5"/>
      <x:c r="L91" s="5"/>
      <x:c r="M91" s="3"/>
      <x:c r="N91" s="78"/>
    </x:row>
    <x:row r="92" ht="21" customHeight="1">
      <x:c r="A92" s="3"/>
      <x:c r="B92" s="3"/>
      <x:c r="C92" s="5"/>
      <x:c r="D92" s="5"/>
      <x:c r="E92" s="5"/>
      <x:c r="F92" s="5"/>
      <x:c r="G92" s="5"/>
      <x:c r="H92" s="5"/>
      <x:c r="I92" s="5"/>
      <x:c r="J92" s="5"/>
      <x:c r="K92" s="5"/>
      <x:c r="L92" s="5"/>
      <x:c r="M92" s="3"/>
      <x:c r="N92" s="78"/>
    </x:row>
    <x:row r="93" ht="21" customHeight="1">
      <x:c r="A93" s="3"/>
      <x:c r="B93" s="3"/>
      <x:c r="C93" s="5"/>
      <x:c r="D93" s="5"/>
      <x:c r="E93" s="5"/>
      <x:c r="F93" s="5"/>
      <x:c r="G93" s="5"/>
      <x:c r="H93" s="5"/>
      <x:c r="I93" s="5"/>
      <x:c r="J93" s="5"/>
      <x:c r="K93" s="5"/>
      <x:c r="L93" s="5"/>
      <x:c r="M93" s="3"/>
      <x:c r="N93" s="78"/>
    </x:row>
    <x:row r="94" ht="21" customHeight="1">
      <x:c r="A94" s="3"/>
      <x:c r="B94" s="3"/>
      <x:c r="C94" s="5"/>
      <x:c r="D94" s="5"/>
      <x:c r="E94" s="5"/>
      <x:c r="F94" s="5"/>
      <x:c r="G94" s="5"/>
      <x:c r="H94" s="5"/>
      <x:c r="I94" s="5"/>
      <x:c r="J94" s="5"/>
      <x:c r="K94" s="5"/>
      <x:c r="L94" s="5"/>
      <x:c r="M94" s="3"/>
      <x:c r="N94" s="78"/>
    </x:row>
    <x:row r="95" ht="21" customHeight="1">
      <x:c r="A95" s="3"/>
      <x:c r="B95" s="3"/>
      <x:c r="C95" s="5"/>
      <x:c r="D95" s="5"/>
      <x:c r="E95" s="5"/>
      <x:c r="F95" s="5"/>
      <x:c r="G95" s="5"/>
      <x:c r="H95" s="5"/>
      <x:c r="I95" s="5"/>
      <x:c r="J95" s="5"/>
      <x:c r="K95" s="5"/>
      <x:c r="L95" s="5"/>
      <x:c r="M95" s="3"/>
      <x:c r="N95" s="78"/>
    </x:row>
    <x:row r="96" ht="21" customHeight="1">
      <x:c r="A96" s="3"/>
      <x:c r="B96" s="3"/>
      <x:c r="C96" s="5"/>
      <x:c r="D96" s="5"/>
      <x:c r="E96" s="5"/>
      <x:c r="F96" s="5"/>
      <x:c r="G96" s="5"/>
      <x:c r="H96" s="5"/>
      <x:c r="I96" s="5"/>
      <x:c r="J96" s="5"/>
      <x:c r="K96" s="5"/>
      <x:c r="L96" s="5"/>
      <x:c r="M96" s="3"/>
      <x:c r="N96" s="78"/>
    </x:row>
    <x:row r="97" ht="21" customHeight="1">
      <x:c r="A97" s="3"/>
      <x:c r="B97" s="3"/>
      <x:c r="C97" s="5"/>
      <x:c r="D97" s="5"/>
      <x:c r="E97" s="5"/>
      <x:c r="F97" s="5"/>
      <x:c r="G97" s="5"/>
      <x:c r="H97" s="5"/>
      <x:c r="I97" s="5"/>
      <x:c r="J97" s="5"/>
      <x:c r="K97" s="5"/>
      <x:c r="L97" s="5"/>
      <x:c r="M97" s="3"/>
      <x:c r="N97" s="78"/>
    </x:row>
    <x:row r="98" ht="21" customHeight="1">
      <x:c r="A98" s="3"/>
      <x:c r="B98" s="3"/>
      <x:c r="C98" s="5"/>
      <x:c r="D98" s="5"/>
      <x:c r="E98" s="5"/>
      <x:c r="F98" s="5"/>
      <x:c r="G98" s="5"/>
      <x:c r="H98" s="5"/>
      <x:c r="I98" s="5"/>
      <x:c r="J98" s="5"/>
      <x:c r="K98" s="5"/>
      <x:c r="L98" s="5"/>
      <x:c r="M98" s="3"/>
      <x:c r="N98" s="78"/>
    </x:row>
    <x:row r="99" ht="21" customHeight="1">
      <x:c r="A99" s="3"/>
      <x:c r="B99" s="3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3"/>
      <x:c r="N99" s="78"/>
    </x:row>
    <x:row r="100" ht="21" customHeight="1">
      <x:c r="A100" s="3"/>
      <x:c r="B100" s="3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3"/>
      <x:c r="N100" s="7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4" hidden="0" customWidth="1"/>
    <x:col min="2" max="2" width="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3" hidden="0" customWidth="1"/>
    <x:col min="14" max="14" width="58" hidden="0" customWidth="1"/>
  </x:cols>
  <x:sheetData>
    <x:row r="1" ht="21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78"/>
    </x:row>
    <x:row r="2" ht="21" customHeight="1">
      <x:c r="A2" s="8" t="str">
        <x:v>Historical Financials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78"/>
    </x:row>
    <x:row r="3" ht="21" customHeight="1">
      <x:c r="A3" s="6" t="str">
        <x:v>Consolidated. ₹ crore except per-share values.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78"/>
    </x:row>
    <x:row r="4" ht="21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78"/>
    </x:row>
    <x:row r="5" ht="24" customHeight="1">
      <x:c r="A5" s="12" t="str">
        <x:v>Line item</x:v>
      </x:c>
      <x:c r="B5" s="12"/>
      <x:c r="C5" s="12" t="str">
        <x:v>FY2022A</x:v>
      </x:c>
      <x:c r="D5" s="12" t="str">
        <x:v>FY2023A</x:v>
      </x:c>
      <x:c r="E5" s="12" t="str">
        <x:v>FY2024A</x:v>
      </x:c>
      <x:c r="F5" s="12" t="str">
        <x:v>FY2025A</x:v>
      </x:c>
      <x:c r="G5" s="12" t="str">
        <x:v>FY2026A</x:v>
      </x:c>
      <x:c r="H5" s="12" t="str">
        <x:v>FY2027E</x:v>
      </x:c>
      <x:c r="I5" s="12" t="str">
        <x:v>FY2028E</x:v>
      </x:c>
      <x:c r="J5" s="12" t="str">
        <x:v>FY2029E</x:v>
      </x:c>
      <x:c r="K5" s="12" t="str">
        <x:v>FY2030E</x:v>
      </x:c>
      <x:c r="L5" s="12" t="str">
        <x:v>FY2031E</x:v>
      </x:c>
      <x:c r="M5" s="3"/>
      <x:c r="N5" s="78"/>
    </x:row>
    <x:row r="6" ht="21" customHeight="1">
      <x:c r="A6" s="3"/>
      <x:c r="B6" s="3"/>
      <x:c r="C6" s="5"/>
      <x:c r="D6" s="5"/>
      <x:c r="E6" s="5"/>
      <x:c r="F6" s="5"/>
      <x:c r="G6" s="5"/>
      <x:c r="H6" s="5"/>
      <x:c r="I6" s="5"/>
      <x:c r="J6" s="5"/>
      <x:c r="K6" s="5"/>
      <x:c r="L6" s="5"/>
      <x:c r="M6" s="3"/>
      <x:c r="N6" s="78"/>
    </x:row>
    <x:row r="7" ht="21" customHeight="1">
      <x:c r="A7" s="6" t="str">
        <x:v>Income statement</x:v>
      </x:c>
      <x:c r="B7" s="3"/>
      <x:c r="C7" s="5"/>
      <x:c r="D7" s="5"/>
      <x:c r="E7" s="5"/>
      <x:c r="F7" s="5"/>
      <x:c r="G7" s="5"/>
      <x:c r="H7" s="5"/>
      <x:c r="I7" s="5"/>
      <x:c r="J7" s="5"/>
      <x:c r="K7" s="5"/>
      <x:c r="L7" s="5"/>
      <x:c r="M7" s="3"/>
      <x:c r="N7" s="78"/>
    </x:row>
    <x:row r="8" ht="21" customHeight="1">
      <x:c r="A8" s="6" t="str">
        <x:v>Revenue including other operating revenue</x:v>
      </x:c>
      <x:c r="B8" s="3"/>
      <x:c r="C8" s="7" t="n">
        <x:v>1544.6929</x:v>
      </x:c>
      <x:c r="D8" s="7" t="n">
        <x:v>1958.5607</x:v>
      </x:c>
      <x:c r="E8" s="7" t="n">
        <x:v>2271.7823</x:v>
      </x:c>
      <x:c r="F8" s="7" t="n">
        <x:v>2691.92</x:v>
      </x:c>
      <x:c r="G8" s="7" t="n">
        <x:v>4040.8</x:v>
      </x:c>
      <x:c r="H8" s="5"/>
      <x:c r="I8" s="5"/>
      <x:c r="J8" s="5"/>
      <x:c r="K8" s="5"/>
      <x:c r="L8" s="5"/>
      <x:c r="M8" s="3"/>
      <x:c r="N8" s="78"/>
    </x:row>
    <x:row r="9" ht="21" customHeight="1">
      <x:c r="A9" s="6" t="str">
        <x:v>Other income</x:v>
      </x:c>
      <x:c r="B9" s="3"/>
      <x:c r="C9" s="7" t="n">
        <x:v>8.8206</x:v>
      </x:c>
      <x:c r="D9" s="7" t="n">
        <x:v>4.5853</x:v>
      </x:c>
      <x:c r="E9" s="7" t="n">
        <x:v>13.1583</x:v>
      </x:c>
      <x:c r="F9" s="7" t="n">
        <x:v>16.64</x:v>
      </x:c>
      <x:c r="G9" s="7" t="n">
        <x:v>11.57</x:v>
      </x:c>
      <x:c r="H9" s="5"/>
      <x:c r="I9" s="5"/>
      <x:c r="J9" s="5"/>
      <x:c r="K9" s="5"/>
      <x:c r="L9" s="5"/>
      <x:c r="M9" s="3"/>
      <x:c r="N9" s="78"/>
    </x:row>
    <x:row r="10" ht="21" customHeight="1">
      <x:c r="A10" s="6" t="str">
        <x:v>Reported total income</x:v>
      </x:c>
      <x:c r="B10" s="3"/>
      <x:c r="C10" s="7" t="n">
        <x:v>1553.5135</x:v>
      </x:c>
      <x:c r="D10" s="7" t="n">
        <x:v>1963.146</x:v>
      </x:c>
      <x:c r="E10" s="7" t="n">
        <x:v>2284.9406</x:v>
      </x:c>
      <x:c r="F10" s="7" t="n">
        <x:v>2708.56</x:v>
      </x:c>
      <x:c r="G10" s="7" t="n">
        <x:v>4052.37</x:v>
      </x:c>
      <x:c r="H10" s="5"/>
      <x:c r="I10" s="5"/>
      <x:c r="J10" s="5"/>
      <x:c r="K10" s="5"/>
      <x:c r="L10" s="5"/>
      <x:c r="M10" s="3"/>
      <x:c r="N10" s="78"/>
    </x:row>
    <x:row r="11" ht="21" customHeight="1">
      <x:c r="A11" s="6" t="str">
        <x:v>Operating expenses excluding D&amp;A</x:v>
      </x:c>
      <x:c r="B11" s="3"/>
      <x:c r="C11" s="5" t="n">
        <x:f>SUM(C65:C69)</x:f>
        <x:v>1364.1128</x:v>
      </x:c>
      <x:c r="D11" s="5" t="n">
        <x:f>SUM(D65:D69)</x:f>
        <x:v>1730.0857</x:v>
      </x:c>
      <x:c r="E11" s="5" t="n">
        <x:f>SUM(E65:E69)</x:f>
        <x:v>1998.7254</x:v>
      </x:c>
      <x:c r="F11" s="5" t="n">
        <x:f>SUM(F65:F69)</x:f>
        <x:v>2379.03</x:v>
      </x:c>
      <x:c r="G11" s="5" t="n">
        <x:f>SUM(G65:G69)</x:f>
        <x:v>3571.43</x:v>
      </x:c>
      <x:c r="H11" s="5"/>
      <x:c r="I11" s="5"/>
      <x:c r="J11" s="5"/>
      <x:c r="K11" s="5"/>
      <x:c r="L11" s="5"/>
      <x:c r="M11" s="3"/>
      <x:c r="N11" s="78"/>
    </x:row>
    <x:row r="12" ht="21" customHeight="1">
      <x:c r="A12" s="6" t="str">
        <x:v>Depreciation and amortisation</x:v>
      </x:c>
      <x:c r="B12" s="3"/>
      <x:c r="C12" s="7" t="n">
        <x:v>81.839</x:v>
      </x:c>
      <x:c r="D12" s="7" t="n">
        <x:v>77.9078</x:v>
      </x:c>
      <x:c r="E12" s="7" t="n">
        <x:v>82.0606</x:v>
      </x:c>
      <x:c r="F12" s="7" t="n">
        <x:v>89.75</x:v>
      </x:c>
      <x:c r="G12" s="7" t="n">
        <x:v>119.96</x:v>
      </x:c>
      <x:c r="H12" s="5"/>
      <x:c r="I12" s="5"/>
      <x:c r="J12" s="5"/>
      <x:c r="K12" s="5"/>
      <x:c r="L12" s="5"/>
      <x:c r="M12" s="3"/>
      <x:c r="N12" s="78"/>
    </x:row>
    <x:row r="13" ht="21" customHeight="1">
      <x:c r="A13" s="6" t="str">
        <x:v>Finance costs</x:v>
      </x:c>
      <x:c r="B13" s="3"/>
      <x:c r="C13" s="7" t="n">
        <x:v>27.2823</x:v>
      </x:c>
      <x:c r="D13" s="7" t="n">
        <x:v>18.2825</x:v>
      </x:c>
      <x:c r="E13" s="7" t="n">
        <x:v>18.25</x:v>
      </x:c>
      <x:c r="F13" s="7" t="n">
        <x:v>13.17</x:v>
      </x:c>
      <x:c r="G13" s="7" t="n">
        <x:v>30.04</x:v>
      </x:c>
      <x:c r="H13" s="5"/>
      <x:c r="I13" s="5"/>
      <x:c r="J13" s="5"/>
      <x:c r="K13" s="5"/>
      <x:c r="L13" s="5"/>
      <x:c r="M13" s="3"/>
      <x:c r="N13" s="78"/>
    </x:row>
    <x:row r="14" ht="21" customHeight="1">
      <x:c r="A14" s="6" t="str">
        <x:v>Reported profit before tax</x:v>
      </x:c>
      <x:c r="B14" s="3"/>
      <x:c r="C14" s="7" t="n">
        <x:v>80.2794</x:v>
      </x:c>
      <x:c r="D14" s="7" t="n">
        <x:v>146.62</x:v>
      </x:c>
      <x:c r="E14" s="7" t="n">
        <x:v>185.9046</x:v>
      </x:c>
      <x:c r="F14" s="7" t="n">
        <x:v>226.61</x:v>
      </x:c>
      <x:c r="G14" s="7" t="n">
        <x:v>330.94</x:v>
      </x:c>
      <x:c r="H14" s="5"/>
      <x:c r="I14" s="5"/>
      <x:c r="J14" s="5"/>
      <x:c r="K14" s="5"/>
      <x:c r="L14" s="5"/>
      <x:c r="M14" s="3"/>
      <x:c r="N14" s="78"/>
    </x:row>
    <x:row r="15" ht="21" customHeight="1">
      <x:c r="A15" s="6" t="str">
        <x:v>Tax expense</x:v>
      </x:c>
      <x:c r="B15" s="3"/>
      <x:c r="C15" s="5" t="n">
        <x:f>SUM(C70:C72)</x:f>
        <x:v>29.185700000000004</x:v>
      </x:c>
      <x:c r="D15" s="5" t="n">
        <x:f>SUM(D70:D72)</x:f>
        <x:v>21.934700000000003</x:v>
      </x:c>
      <x:c r="E15" s="5" t="n">
        <x:f>SUM(E70:E72)</x:f>
        <x:v>45.293099999999995</x:v>
      </x:c>
      <x:c r="F15" s="5" t="n">
        <x:f>SUM(F70:F72)</x:f>
        <x:v>59.580000000000005</x:v>
      </x:c>
      <x:c r="G15" s="5" t="n">
        <x:f>SUM(G70:G72)</x:f>
        <x:v>80.14</x:v>
      </x:c>
      <x:c r="H15" s="5"/>
      <x:c r="I15" s="5"/>
      <x:c r="J15" s="5"/>
      <x:c r="K15" s="5"/>
      <x:c r="L15" s="5"/>
      <x:c r="M15" s="3"/>
      <x:c r="N15" s="78"/>
    </x:row>
    <x:row r="16" ht="21" customHeight="1">
      <x:c r="A16" s="6" t="str">
        <x:v>Reported profit after tax</x:v>
      </x:c>
      <x:c r="B16" s="3"/>
      <x:c r="C16" s="7" t="n">
        <x:v>51.0937</x:v>
      </x:c>
      <x:c r="D16" s="7" t="n">
        <x:v>124.6853</x:v>
      </x:c>
      <x:c r="E16" s="7" t="n">
        <x:v>140.6115</x:v>
      </x:c>
      <x:c r="F16" s="7" t="n">
        <x:v>167.03</x:v>
      </x:c>
      <x:c r="G16" s="7" t="n">
        <x:v>250.8</x:v>
      </x:c>
      <x:c r="H16" s="5"/>
      <x:c r="I16" s="5"/>
      <x:c r="J16" s="5"/>
      <x:c r="K16" s="5"/>
      <x:c r="L16" s="5"/>
      <x:c r="M16" s="3"/>
      <x:c r="N16" s="78"/>
    </x:row>
    <x:row r="17" ht="21" customHeight="1">
      <x:c r="A17" s="6" t="str">
        <x:v>Profit attributable to owners</x:v>
      </x:c>
      <x:c r="B17" s="3"/>
      <x:c r="C17" s="7" t="n">
        <x:v>51.0937</x:v>
      </x:c>
      <x:c r="D17" s="7" t="n">
        <x:v>124.6853</x:v>
      </x:c>
      <x:c r="E17" s="7" t="n">
        <x:v>140.6115</x:v>
      </x:c>
      <x:c r="F17" s="7" t="n">
        <x:v>167.03</x:v>
      </x:c>
      <x:c r="G17" s="7" t="n">
        <x:v>250.8</x:v>
      </x:c>
      <x:c r="H17" s="5"/>
      <x:c r="I17" s="5"/>
      <x:c r="J17" s="5"/>
      <x:c r="K17" s="5"/>
      <x:c r="L17" s="5"/>
      <x:c r="M17" s="3"/>
      <x:c r="N17" s="78"/>
    </x:row>
    <x:row r="18" ht="21" customHeight="1">
      <x:c r="A18" s="6" t="str">
        <x:v>Operating EBITDA</x:v>
      </x:c>
      <x:c r="B18" s="3"/>
      <x:c r="C18" s="5" t="n">
        <x:f>C8-C11</x:f>
        <x:v>180.5800999999999</x:v>
      </x:c>
      <x:c r="D18" s="5" t="n">
        <x:f>D8-D11</x:f>
        <x:v>228.4749999999999</x:v>
      </x:c>
      <x:c r="E18" s="5" t="n">
        <x:f>E8-E11</x:f>
        <x:v>273.0568999999998</x:v>
      </x:c>
      <x:c r="F18" s="5" t="n">
        <x:f>F8-F11</x:f>
        <x:v>312.8899999999999</x:v>
      </x:c>
      <x:c r="G18" s="5" t="n">
        <x:f>G8-G11</x:f>
        <x:v>469.37000000000035</x:v>
      </x:c>
      <x:c r="H18" s="5"/>
      <x:c r="I18" s="5"/>
      <x:c r="J18" s="5"/>
      <x:c r="K18" s="5"/>
      <x:c r="L18" s="5"/>
      <x:c r="M18" s="3"/>
      <x:c r="N18" s="78"/>
    </x:row>
    <x:row r="19" ht="21" customHeight="1">
      <x:c r="A19" s="6" t="str">
        <x:v>Operating EBIT</x:v>
      </x:c>
      <x:c r="B19" s="3"/>
      <x:c r="C19" s="5" t="n">
        <x:f>C18-C12</x:f>
        <x:v>98.7410999999999</x:v>
      </x:c>
      <x:c r="D19" s="5" t="n">
        <x:f>D18-D12</x:f>
        <x:v>150.5671999999999</x:v>
      </x:c>
      <x:c r="E19" s="5" t="n">
        <x:f>E18-E12</x:f>
        <x:v>190.99629999999982</x:v>
      </x:c>
      <x:c r="F19" s="5" t="n">
        <x:f>F18-F12</x:f>
        <x:v>223.13999999999987</x:v>
      </x:c>
      <x:c r="G19" s="5" t="n">
        <x:f>G18-G12</x:f>
        <x:v>349.41000000000037</x:v>
      </x:c>
      <x:c r="H19" s="5"/>
      <x:c r="I19" s="5"/>
      <x:c r="J19" s="5"/>
      <x:c r="K19" s="5"/>
      <x:c r="L19" s="5"/>
      <x:c r="M19" s="3"/>
      <x:c r="N19" s="78"/>
    </x:row>
    <x:row r="20" ht="21" customHeight="1">
      <x:c r="A20" s="6" t="str">
        <x:v>Exceptional income</x:v>
      </x:c>
      <x:c r="B20" s="3"/>
      <x:c r="C20" s="7" t="n">
        <x:v>0</x:v>
      </x:c>
      <x:c r="D20" s="7" t="n">
        <x:v>9.75</x:v>
      </x:c>
      <x:c r="E20" s="7" t="n">
        <x:v>0</x:v>
      </x:c>
      <x:c r="F20" s="7" t="n">
        <x:v>0</x:v>
      </x:c>
      <x:c r="G20" s="7" t="n">
        <x:v>0</x:v>
      </x:c>
      <x:c r="H20" s="5"/>
      <x:c r="I20" s="5"/>
      <x:c r="J20" s="5"/>
      <x:c r="K20" s="5"/>
      <x:c r="L20" s="5"/>
      <x:c r="M20" s="3"/>
      <x:c r="N20" s="78"/>
    </x:row>
    <x:row r="21" ht="21" customHeight="1">
      <x:c r="A21" s="6" t="str">
        <x:v>Assets</x:v>
      </x:c>
      <x:c r="B21" s="3"/>
      <x:c r="C21" s="5"/>
      <x:c r="D21" s="5"/>
      <x:c r="E21" s="5"/>
      <x:c r="F21" s="5"/>
      <x:c r="G21" s="5"/>
      <x:c r="H21" s="5"/>
      <x:c r="I21" s="5"/>
      <x:c r="J21" s="5"/>
      <x:c r="K21" s="5"/>
      <x:c r="L21" s="5"/>
      <x:c r="M21" s="3"/>
      <x:c r="N21" s="78"/>
    </x:row>
    <x:row r="22" ht="21" customHeight="1">
      <x:c r="A22" s="6" t="str">
        <x:v>Property, plant and equipment</x:v>
      </x:c>
      <x:c r="B22" s="3"/>
      <x:c r="C22" s="7" t="n">
        <x:v>374.3544</x:v>
      </x:c>
      <x:c r="D22" s="7" t="n">
        <x:v>395.8629</x:v>
      </x:c>
      <x:c r="E22" s="7" t="n">
        <x:v>459.2005</x:v>
      </x:c>
      <x:c r="F22" s="7" t="n">
        <x:v>706.52</x:v>
      </x:c>
      <x:c r="G22" s="7" t="n">
        <x:v>860.08</x:v>
      </x:c>
      <x:c r="H22" s="5"/>
      <x:c r="I22" s="5"/>
      <x:c r="J22" s="5"/>
      <x:c r="K22" s="5"/>
      <x:c r="L22" s="5"/>
      <x:c r="M22" s="3"/>
      <x:c r="N22" s="78"/>
    </x:row>
    <x:row r="23" ht="21" customHeight="1">
      <x:c r="A23" s="6" t="str">
        <x:v>Capital work in progress</x:v>
      </x:c>
      <x:c r="B23" s="3"/>
      <x:c r="C23" s="7" t="n">
        <x:v>8.4404</x:v>
      </x:c>
      <x:c r="D23" s="7" t="n">
        <x:v>13.9856</x:v>
      </x:c>
      <x:c r="E23" s="7" t="n">
        <x:v>37.9008</x:v>
      </x:c>
      <x:c r="F23" s="7" t="n">
        <x:v>69.9</x:v>
      </x:c>
      <x:c r="G23" s="7" t="n">
        <x:v>111.5</x:v>
      </x:c>
      <x:c r="H23" s="5"/>
      <x:c r="I23" s="5"/>
      <x:c r="J23" s="5"/>
      <x:c r="K23" s="5"/>
      <x:c r="L23" s="5"/>
      <x:c r="M23" s="3"/>
      <x:c r="N23" s="78"/>
    </x:row>
    <x:row r="24" ht="21" customHeight="1">
      <x:c r="A24" s="6" t="str">
        <x:v>Right-of-use assets</x:v>
      </x:c>
      <x:c r="B24" s="3"/>
      <x:c r="C24" s="7" t="n">
        <x:v>39.1692</x:v>
      </x:c>
      <x:c r="D24" s="7" t="n">
        <x:v>34.4636</x:v>
      </x:c>
      <x:c r="E24" s="7" t="n">
        <x:v>27.7177</x:v>
      </x:c>
      <x:c r="F24" s="7" t="n">
        <x:v>26.35</x:v>
      </x:c>
      <x:c r="G24" s="7" t="n">
        <x:v>73.05</x:v>
      </x:c>
      <x:c r="H24" s="5"/>
      <x:c r="I24" s="5"/>
      <x:c r="J24" s="5"/>
      <x:c r="K24" s="5"/>
      <x:c r="L24" s="5"/>
      <x:c r="M24" s="3"/>
      <x:c r="N24" s="78"/>
    </x:row>
    <x:row r="25" ht="21" customHeight="1">
      <x:c r="A25" s="6" t="str">
        <x:v>Goodwill and intangible assets</x:v>
      </x:c>
      <x:c r="B25" s="3"/>
      <x:c r="C25" s="5" t="n">
        <x:f>SUM(C73:C75)</x:f>
        <x:v>182.9103</x:v>
      </x:c>
      <x:c r="D25" s="5" t="n">
        <x:f>SUM(D73:D75)</x:f>
        <x:v>160.4575</x:v>
      </x:c>
      <x:c r="E25" s="5" t="n">
        <x:f>SUM(E73:E75)</x:f>
        <x:v>138.3926</x:v>
      </x:c>
      <x:c r="F25" s="5" t="n">
        <x:f>SUM(F73:F75)</x:f>
        <x:v>132.09</x:v>
      </x:c>
      <x:c r="G25" s="5" t="n">
        <x:f>SUM(G73:G75)</x:f>
        <x:v>105.53999999999999</x:v>
      </x:c>
      <x:c r="H25" s="5"/>
      <x:c r="I25" s="5"/>
      <x:c r="J25" s="5"/>
      <x:c r="K25" s="5"/>
      <x:c r="L25" s="5"/>
      <x:c r="M25" s="3"/>
      <x:c r="N25" s="78"/>
    </x:row>
    <x:row r="26" ht="21" customHeight="1">
      <x:c r="A26" s="6" t="str">
        <x:v>Other non-current assets</x:v>
      </x:c>
      <x:c r="B26" s="3"/>
      <x:c r="C26" s="5" t="n">
        <x:f>SUM(C76:C81)</x:f>
        <x:v>44.6012</x:v>
      </x:c>
      <x:c r="D26" s="5" t="n">
        <x:f>SUM(D76:D81)</x:f>
        <x:v>39.0351</x:v>
      </x:c>
      <x:c r="E26" s="5" t="n">
        <x:f>SUM(E76:E81)</x:f>
        <x:v>29.475699999999996</x:v>
      </x:c>
      <x:c r="F26" s="5" t="n">
        <x:f>SUM(F76:F81)</x:f>
        <x:v>34.209999999999994</x:v>
      </x:c>
      <x:c r="G26" s="5" t="n">
        <x:f>SUM(G76:G81)</x:f>
        <x:v>32.91</x:v>
      </x:c>
      <x:c r="H26" s="5"/>
      <x:c r="I26" s="5"/>
      <x:c r="J26" s="5"/>
      <x:c r="K26" s="5"/>
      <x:c r="L26" s="5"/>
      <x:c r="M26" s="3"/>
      <x:c r="N26" s="78"/>
    </x:row>
    <x:row r="27" ht="21" customHeight="1">
      <x:c r="A27" s="6" t="str">
        <x:v>Inventories</x:v>
      </x:c>
      <x:c r="B27" s="3"/>
      <x:c r="C27" s="7" t="n">
        <x:v>236.4727</x:v>
      </x:c>
      <x:c r="D27" s="7" t="n">
        <x:v>271.6792</x:v>
      </x:c>
      <x:c r="E27" s="7" t="n">
        <x:v>320.265</x:v>
      </x:c>
      <x:c r="F27" s="7" t="n">
        <x:v>362.63</x:v>
      </x:c>
      <x:c r="G27" s="7" t="n">
        <x:v>539.33</x:v>
      </x:c>
      <x:c r="H27" s="5"/>
      <x:c r="I27" s="5"/>
      <x:c r="J27" s="5"/>
      <x:c r="K27" s="5"/>
      <x:c r="L27" s="5"/>
      <x:c r="M27" s="3"/>
      <x:c r="N27" s="78"/>
    </x:row>
    <x:row r="28" ht="21" customHeight="1">
      <x:c r="A28" s="6" t="str">
        <x:v>Trade receivables</x:v>
      </x:c>
      <x:c r="B28" s="3"/>
      <x:c r="C28" s="7" t="n">
        <x:v>238.9208</x:v>
      </x:c>
      <x:c r="D28" s="7" t="n">
        <x:v>268.9791</x:v>
      </x:c>
      <x:c r="E28" s="7" t="n">
        <x:v>287.0407</x:v>
      </x:c>
      <x:c r="F28" s="7" t="n">
        <x:v>472.74</x:v>
      </x:c>
      <x:c r="G28" s="7" t="n">
        <x:v>577.8</x:v>
      </x:c>
      <x:c r="H28" s="5"/>
      <x:c r="I28" s="5"/>
      <x:c r="J28" s="5"/>
      <x:c r="K28" s="5"/>
      <x:c r="L28" s="5"/>
      <x:c r="M28" s="3"/>
      <x:c r="N28" s="78"/>
    </x:row>
    <x:row r="29" ht="21" customHeight="1">
      <x:c r="A29" s="6" t="str">
        <x:v>Cash and cash equivalents</x:v>
      </x:c>
      <x:c r="B29" s="3"/>
      <x:c r="C29" s="7" t="n">
        <x:v>22.5859</x:v>
      </x:c>
      <x:c r="D29" s="7" t="n">
        <x:v>55.9968</x:v>
      </x:c>
      <x:c r="E29" s="7" t="n">
        <x:v>112.5423</x:v>
      </x:c>
      <x:c r="F29" s="7" t="n">
        <x:v>101.08</x:v>
      </x:c>
      <x:c r="G29" s="7" t="n">
        <x:v>117.9</x:v>
      </x:c>
      <x:c r="H29" s="5"/>
      <x:c r="I29" s="5"/>
      <x:c r="J29" s="5"/>
      <x:c r="K29" s="5"/>
      <x:c r="L29" s="5"/>
      <x:c r="M29" s="3"/>
      <x:c r="N29" s="78"/>
    </x:row>
    <x:row r="30" ht="21" customHeight="1">
      <x:c r="A30" s="6" t="str">
        <x:v>Current investments</x:v>
      </x:c>
      <x:c r="B30" s="3"/>
      <x:c r="C30" s="7" t="n">
        <x:v>2.1302</x:v>
      </x:c>
      <x:c r="D30" s="7" t="n">
        <x:v>3.6392</x:v>
      </x:c>
      <x:c r="E30" s="7" t="n">
        <x:v>5.1685</x:v>
      </x:c>
      <x:c r="F30" s="7" t="n">
        <x:v>6.94</x:v>
      </x:c>
      <x:c r="G30" s="7" t="n">
        <x:v>6.86</x:v>
      </x:c>
      <x:c r="H30" s="5"/>
      <x:c r="I30" s="5"/>
      <x:c r="J30" s="5"/>
      <x:c r="K30" s="5"/>
      <x:c r="L30" s="5"/>
      <x:c r="M30" s="3"/>
      <x:c r="N30" s="78"/>
    </x:row>
    <x:row r="31" ht="21" customHeight="1">
      <x:c r="A31" s="6" t="str">
        <x:v>Other current assets / assets held for sale</x:v>
      </x:c>
      <x:c r="B31" s="3"/>
      <x:c r="C31" s="5" t="n">
        <x:f>SUM(C82:C85)</x:f>
        <x:v>49.169799999999995</x:v>
      </x:c>
      <x:c r="D31" s="5" t="n">
        <x:f>SUM(D82:D85)</x:f>
        <x:v>63.4059</x:v>
      </x:c>
      <x:c r="E31" s="5" t="n">
        <x:f>SUM(E82:E85)</x:f>
        <x:v>17.9343</x:v>
      </x:c>
      <x:c r="F31" s="5" t="n">
        <x:f>SUM(F82:F85)</x:f>
        <x:v>36.9</x:v>
      </x:c>
      <x:c r="G31" s="5" t="n">
        <x:f>SUM(G82:G85)</x:f>
        <x:v>50.330000000000005</x:v>
      </x:c>
      <x:c r="H31" s="5"/>
      <x:c r="I31" s="5"/>
      <x:c r="J31" s="5"/>
      <x:c r="K31" s="5"/>
      <x:c r="L31" s="5"/>
      <x:c r="M31" s="3"/>
      <x:c r="N31" s="78"/>
    </x:row>
    <x:row r="32" ht="21" customHeight="1">
      <x:c r="A32" s="6" t="str">
        <x:v>Reported total assets</x:v>
      </x:c>
      <x:c r="B32" s="3"/>
      <x:c r="C32" s="7" t="n">
        <x:v>1198.7549</x:v>
      </x:c>
      <x:c r="D32" s="7" t="n">
        <x:v>1307.5049</x:v>
      </x:c>
      <x:c r="E32" s="7" t="n">
        <x:v>1435.6381</x:v>
      </x:c>
      <x:c r="F32" s="7" t="n">
        <x:v>1949.36</x:v>
      </x:c>
      <x:c r="G32" s="7" t="n">
        <x:v>2475.3</x:v>
      </x:c>
      <x:c r="H32" s="5"/>
      <x:c r="I32" s="5"/>
      <x:c r="J32" s="5"/>
      <x:c r="K32" s="5"/>
      <x:c r="L32" s="5"/>
      <x:c r="M32" s="3"/>
      <x:c r="N32" s="78"/>
    </x:row>
    <x:row r="33" ht="21" customHeight="1">
      <x:c r="A33" s="3"/>
      <x:c r="B33" s="3"/>
      <x:c r="C33" s="5"/>
      <x:c r="D33" s="5"/>
      <x:c r="E33" s="5"/>
      <x:c r="F33" s="5"/>
      <x:c r="G33" s="5"/>
      <x:c r="H33" s="5"/>
      <x:c r="I33" s="5"/>
      <x:c r="J33" s="5"/>
      <x:c r="K33" s="5"/>
      <x:c r="L33" s="5"/>
      <x:c r="M33" s="3"/>
      <x:c r="N33" s="78"/>
    </x:row>
    <x:row r="34" ht="21" customHeight="1">
      <x:c r="A34" s="3"/>
      <x:c r="B34" s="3"/>
      <x:c r="C34" s="5"/>
      <x:c r="D34" s="5"/>
      <x:c r="E34" s="5"/>
      <x:c r="F34" s="5"/>
      <x:c r="G34" s="5"/>
      <x:c r="H34" s="5"/>
      <x:c r="I34" s="5"/>
      <x:c r="J34" s="5"/>
      <x:c r="K34" s="5"/>
      <x:c r="L34" s="5"/>
      <x:c r="M34" s="3"/>
      <x:c r="N34" s="78"/>
    </x:row>
    <x:row r="35" ht="21" customHeight="1">
      <x:c r="A35" s="6" t="str">
        <x:v>Equity and liabilities</x:v>
      </x:c>
      <x:c r="B35" s="3"/>
      <x:c r="C35" s="5"/>
      <x:c r="D35" s="5"/>
      <x:c r="E35" s="5"/>
      <x:c r="F35" s="5"/>
      <x:c r="G35" s="5"/>
      <x:c r="H35" s="5"/>
      <x:c r="I35" s="5"/>
      <x:c r="J35" s="5"/>
      <x:c r="K35" s="5"/>
      <x:c r="L35" s="5"/>
      <x:c r="M35" s="3"/>
      <x:c r="N35" s="78"/>
    </x:row>
    <x:row r="36" ht="21" customHeight="1">
      <x:c r="A36" s="6" t="str">
        <x:v>Share capital</x:v>
      </x:c>
      <x:c r="B36" s="3"/>
      <x:c r="C36" s="7" t="n">
        <x:v>12.1881</x:v>
      </x:c>
      <x:c r="D36" s="7" t="n">
        <x:v>12.1881</x:v>
      </x:c>
      <x:c r="E36" s="7" t="n">
        <x:v>12.1881</x:v>
      </x:c>
      <x:c r="F36" s="7" t="n">
        <x:v>12.19</x:v>
      </x:c>
      <x:c r="G36" s="7" t="n">
        <x:v>12.19</x:v>
      </x:c>
      <x:c r="H36" s="5"/>
      <x:c r="I36" s="5"/>
      <x:c r="J36" s="5"/>
      <x:c r="K36" s="5"/>
      <x:c r="L36" s="5"/>
      <x:c r="M36" s="3"/>
      <x:c r="N36" s="78"/>
    </x:row>
    <x:row r="37" ht="21" customHeight="1">
      <x:c r="A37" s="6" t="str">
        <x:v>Other equity</x:v>
      </x:c>
      <x:c r="B37" s="3"/>
      <x:c r="C37" s="7" t="n">
        <x:v>563.9943</x:v>
      </x:c>
      <x:c r="D37" s="7" t="n">
        <x:v>692.0946</x:v>
      </x:c>
      <x:c r="E37" s="7" t="n">
        <x:v>833.084</x:v>
      </x:c>
      <x:c r="F37" s="7" t="n">
        <x:v>1003.84</x:v>
      </x:c>
      <x:c r="G37" s="7" t="n">
        <x:v>1242.7</x:v>
      </x:c>
      <x:c r="H37" s="5"/>
      <x:c r="I37" s="5"/>
      <x:c r="J37" s="5"/>
      <x:c r="K37" s="5"/>
      <x:c r="L37" s="5"/>
      <x:c r="M37" s="3"/>
      <x:c r="N37" s="78"/>
    </x:row>
    <x:row r="38" ht="21" customHeight="1">
      <x:c r="A38" s="6" t="str">
        <x:v>Non-controlling interests</x:v>
      </x:c>
      <x:c r="B38" s="3"/>
      <x:c r="C38" s="7" t="n">
        <x:v>0</x:v>
      </x:c>
      <x:c r="D38" s="7" t="n">
        <x:v>0</x:v>
      </x:c>
      <x:c r="E38" s="7" t="n">
        <x:v>0</x:v>
      </x:c>
      <x:c r="F38" s="7" t="n">
        <x:v>0</x:v>
      </x:c>
      <x:c r="G38" s="7" t="n">
        <x:v>0</x:v>
      </x:c>
      <x:c r="H38" s="5"/>
      <x:c r="I38" s="5"/>
      <x:c r="J38" s="5"/>
      <x:c r="K38" s="5"/>
      <x:c r="L38" s="5"/>
      <x:c r="M38" s="3"/>
      <x:c r="N38" s="78"/>
    </x:row>
    <x:row r="39" ht="21" customHeight="1">
      <x:c r="A39" s="6" t="str">
        <x:v>Non-current borrowings</x:v>
      </x:c>
      <x:c r="B39" s="3"/>
      <x:c r="C39" s="7" t="n">
        <x:v>93.1098</x:v>
      </x:c>
      <x:c r="D39" s="7" t="n">
        <x:v>26.7581</x:v>
      </x:c>
      <x:c r="E39" s="7" t="n">
        <x:v>0</x:v>
      </x:c>
      <x:c r="F39" s="7" t="n">
        <x:v>67.81</x:v>
      </x:c>
      <x:c r="G39" s="7" t="n">
        <x:v>97.16</x:v>
      </x:c>
      <x:c r="H39" s="5"/>
      <x:c r="I39" s="5"/>
      <x:c r="J39" s="5"/>
      <x:c r="K39" s="5"/>
      <x:c r="L39" s="5"/>
      <x:c r="M39" s="3"/>
      <x:c r="N39" s="78"/>
    </x:row>
    <x:row r="40" ht="21" customHeight="1">
      <x:c r="A40" s="6" t="str">
        <x:v>Current borrowings</x:v>
      </x:c>
      <x:c r="B40" s="3"/>
      <x:c r="C40" s="7" t="n">
        <x:v>34.9536</x:v>
      </x:c>
      <x:c r="D40" s="7" t="n">
        <x:v>62.4444</x:v>
      </x:c>
      <x:c r="E40" s="7" t="n">
        <x:v>46.6237</x:v>
      </x:c>
      <x:c r="F40" s="7" t="n">
        <x:v>200.83</x:v>
      </x:c>
      <x:c r="G40" s="7" t="n">
        <x:v>265.76</x:v>
      </x:c>
      <x:c r="H40" s="5"/>
      <x:c r="I40" s="5"/>
      <x:c r="J40" s="5"/>
      <x:c r="K40" s="5"/>
      <x:c r="L40" s="5"/>
      <x:c r="M40" s="3"/>
      <x:c r="N40" s="78"/>
    </x:row>
    <x:row r="41" ht="21" customHeight="1">
      <x:c r="A41" s="6" t="str">
        <x:v>Non-current lease liabilities</x:v>
      </x:c>
      <x:c r="B41" s="3"/>
      <x:c r="C41" s="7" t="n">
        <x:v>18.9981</x:v>
      </x:c>
      <x:c r="D41" s="7" t="n">
        <x:v>13.5795</x:v>
      </x:c>
      <x:c r="E41" s="7" t="n">
        <x:v>8.0269</x:v>
      </x:c>
      <x:c r="F41" s="7" t="n">
        <x:v>4.94</x:v>
      </x:c>
      <x:c r="G41" s="7" t="n">
        <x:v>11.4</x:v>
      </x:c>
      <x:c r="H41" s="5"/>
      <x:c r="I41" s="5"/>
      <x:c r="J41" s="5"/>
      <x:c r="K41" s="5"/>
      <x:c r="L41" s="5"/>
      <x:c r="M41" s="3"/>
      <x:c r="N41" s="78"/>
    </x:row>
    <x:row r="42" ht="21" customHeight="1">
      <x:c r="A42" s="6" t="str">
        <x:v>Current lease liabilities</x:v>
      </x:c>
      <x:c r="B42" s="3"/>
      <x:c r="C42" s="7" t="n">
        <x:v>6.3568</x:v>
      </x:c>
      <x:c r="D42" s="7" t="n">
        <x:v>7.5461</x:v>
      </x:c>
      <x:c r="E42" s="7" t="n">
        <x:v>6.2327</x:v>
      </x:c>
      <x:c r="F42" s="7" t="n">
        <x:v>5.27</x:v>
      </x:c>
      <x:c r="G42" s="7" t="n">
        <x:v>4.84</x:v>
      </x:c>
      <x:c r="H42" s="5"/>
      <x:c r="I42" s="5"/>
      <x:c r="J42" s="5"/>
      <x:c r="K42" s="5"/>
      <x:c r="L42" s="5"/>
      <x:c r="M42" s="3"/>
      <x:c r="N42" s="78"/>
    </x:row>
    <x:row r="43" ht="21" customHeight="1">
      <x:c r="A43" s="6" t="str">
        <x:v>Trade payables</x:v>
      </x:c>
      <x:c r="B43" s="3"/>
      <x:c r="C43" s="5" t="n">
        <x:f>SUM(C86:C87)</x:f>
        <x:v>269.9445</x:v>
      </x:c>
      <x:c r="D43" s="5" t="n">
        <x:f>SUM(D86:D87)</x:f>
        <x:v>282.63030000000003</x:v>
      </x:c>
      <x:c r="E43" s="5" t="n">
        <x:f>SUM(E86:E87)</x:f>
        <x:v>325.8118</x:v>
      </x:c>
      <x:c r="F43" s="5" t="n">
        <x:f>SUM(F86:F87)</x:f>
        <x:v>379.88</x:v>
      </x:c>
      <x:c r="G43" s="5" t="n">
        <x:f>SUM(G86:G87)</x:f>
        <x:v>546.23</x:v>
      </x:c>
      <x:c r="H43" s="5"/>
      <x:c r="I43" s="5"/>
      <x:c r="J43" s="5"/>
      <x:c r="K43" s="5"/>
      <x:c r="L43" s="5"/>
      <x:c r="M43" s="3"/>
      <x:c r="N43" s="78"/>
    </x:row>
    <x:row r="44" ht="21" customHeight="1">
      <x:c r="A44" s="6" t="str">
        <x:v>Other non-current liabilities</x:v>
      </x:c>
      <x:c r="B44" s="3"/>
      <x:c r="C44" s="5" t="n">
        <x:f>SUM(C88:C91)</x:f>
        <x:v>73.5779</x:v>
      </x:c>
      <x:c r="D44" s="5" t="n">
        <x:f>SUM(D88:D91)</x:f>
        <x:v>58.020900000000005</x:v>
      </x:c>
      <x:c r="E44" s="5" t="n">
        <x:f>SUM(E88:E91)</x:f>
        <x:v>56.730900000000005</x:v>
      </x:c>
      <x:c r="F44" s="5" t="n">
        <x:f>SUM(F88:F91)</x:f>
        <x:v>51.099999999999994</x:v>
      </x:c>
      <x:c r="G44" s="5" t="n">
        <x:f>SUM(G88:G91)</x:f>
        <x:v>41.55</x:v>
      </x:c>
      <x:c r="H44" s="5"/>
      <x:c r="I44" s="5"/>
      <x:c r="J44" s="5"/>
      <x:c r="K44" s="5"/>
      <x:c r="L44" s="5"/>
      <x:c r="M44" s="3"/>
      <x:c r="N44" s="78"/>
    </x:row>
    <x:row r="45" ht="21" customHeight="1">
      <x:c r="A45" s="6" t="str">
        <x:v>Other current liabilities / held for sale</x:v>
      </x:c>
      <x:c r="B45" s="3"/>
      <x:c r="C45" s="5" t="n">
        <x:f>SUM(C92:C96)</x:f>
        <x:v>125.63179999999998</x:v>
      </x:c>
      <x:c r="D45" s="5" t="n">
        <x:f>SUM(D92:D96)</x:f>
        <x:v>152.2429</x:v>
      </x:c>
      <x:c r="E45" s="5" t="n">
        <x:f>SUM(E92:E96)</x:f>
        <x:v>146.94</x:v>
      </x:c>
      <x:c r="F45" s="5" t="n">
        <x:f>SUM(F92:F96)</x:f>
        <x:v>223.5</x:v>
      </x:c>
      <x:c r="G45" s="5" t="n">
        <x:f>SUM(G92:G96)</x:f>
        <x:v>253.47000000000003</x:v>
      </x:c>
      <x:c r="H45" s="5"/>
      <x:c r="I45" s="5"/>
      <x:c r="J45" s="5"/>
      <x:c r="K45" s="5"/>
      <x:c r="L45" s="5"/>
      <x:c r="M45" s="3"/>
      <x:c r="N45" s="78"/>
    </x:row>
    <x:row r="46" ht="21" customHeight="1">
      <x:c r="A46" s="6" t="str">
        <x:v>Reported total equity and liabilities</x:v>
      </x:c>
      <x:c r="B46" s="3"/>
      <x:c r="C46" s="7" t="n">
        <x:v>1198.7549</x:v>
      </x:c>
      <x:c r="D46" s="7" t="n">
        <x:v>1307.5049</x:v>
      </x:c>
      <x:c r="E46" s="7" t="n">
        <x:v>1435.6381</x:v>
      </x:c>
      <x:c r="F46" s="7" t="n">
        <x:v>1949.36</x:v>
      </x:c>
      <x:c r="G46" s="7" t="n">
        <x:v>2475.3</x:v>
      </x:c>
      <x:c r="H46" s="5"/>
      <x:c r="I46" s="5"/>
      <x:c r="J46" s="5"/>
      <x:c r="K46" s="5"/>
      <x:c r="L46" s="5"/>
      <x:c r="M46" s="3"/>
      <x:c r="N46" s="78"/>
    </x:row>
    <x:row r="47" ht="21" customHeight="1">
      <x:c r="A47" s="3"/>
      <x:c r="B47" s="3"/>
      <x:c r="C47" s="5"/>
      <x:c r="D47" s="5"/>
      <x:c r="E47" s="5"/>
      <x:c r="F47" s="5"/>
      <x:c r="G47" s="5"/>
      <x:c r="H47" s="5"/>
      <x:c r="I47" s="5"/>
      <x:c r="J47" s="5"/>
      <x:c r="K47" s="5"/>
      <x:c r="L47" s="5"/>
      <x:c r="M47" s="3"/>
      <x:c r="N47" s="78"/>
    </x:row>
    <x:row r="48" ht="21" customHeight="1">
      <x:c r="A48" s="3"/>
      <x:c r="B48" s="3"/>
      <x:c r="C48" s="5"/>
      <x:c r="D48" s="5"/>
      <x:c r="E48" s="5"/>
      <x:c r="F48" s="5"/>
      <x:c r="G48" s="5"/>
      <x:c r="H48" s="5"/>
      <x:c r="I48" s="5"/>
      <x:c r="J48" s="5"/>
      <x:c r="K48" s="5"/>
      <x:c r="L48" s="5"/>
      <x:c r="M48" s="3"/>
      <x:c r="N48" s="78"/>
    </x:row>
    <x:row r="49" ht="21" customHeight="1">
      <x:c r="A49" s="6" t="str">
        <x:v>Cash flow</x:v>
      </x:c>
      <x:c r="B49" s="3"/>
      <x:c r="C49" s="5"/>
      <x:c r="D49" s="5"/>
      <x:c r="E49" s="5"/>
      <x:c r="F49" s="5"/>
      <x:c r="G49" s="5"/>
      <x:c r="H49" s="5"/>
      <x:c r="I49" s="5"/>
      <x:c r="J49" s="5"/>
      <x:c r="K49" s="5"/>
      <x:c r="L49" s="5"/>
      <x:c r="M49" s="3"/>
      <x:c r="N49" s="78"/>
    </x:row>
    <x:row r="50" ht="21" customHeight="1">
      <x:c r="A50" s="6" t="str">
        <x:v>Cash from operating activities</x:v>
      </x:c>
      <x:c r="B50" s="3"/>
      <x:c r="C50" s="7" t="n">
        <x:v>182.646</x:v>
      </x:c>
      <x:c r="D50" s="7" t="n">
        <x:v>162.7934</x:v>
      </x:c>
      <x:c r="E50" s="7" t="n">
        <x:v>254.7773</x:v>
      </x:c>
      <x:c r="F50" s="7" t="n">
        <x:v>223.43</x:v>
      </x:c>
      <x:c r="G50" s="7" t="n">
        <x:v>281.26</x:v>
      </x:c>
      <x:c r="H50" s="5"/>
      <x:c r="I50" s="5"/>
      <x:c r="J50" s="5"/>
      <x:c r="K50" s="5"/>
      <x:c r="L50" s="5"/>
      <x:c r="M50" s="3"/>
      <x:c r="N50" s="78"/>
    </x:row>
    <x:row r="51" ht="21" customHeight="1">
      <x:c r="A51" s="6" t="str">
        <x:v>Cash from investing activities</x:v>
      </x:c>
      <x:c r="B51" s="3"/>
      <x:c r="C51" s="7" t="n">
        <x:v>-44.673</x:v>
      </x:c>
      <x:c r="D51" s="7" t="n">
        <x:v>-65.5437</x:v>
      </x:c>
      <x:c r="E51" s="7" t="n">
        <x:v>-129.3255</x:v>
      </x:c>
      <x:c r="F51" s="7" t="n">
        <x:v>-376.99</x:v>
      </x:c>
      <x:c r="G51" s="7" t="n">
        <x:v>-297.92</x:v>
      </x:c>
      <x:c r="H51" s="5"/>
      <x:c r="I51" s="5"/>
      <x:c r="J51" s="5"/>
      <x:c r="K51" s="5"/>
      <x:c r="L51" s="5"/>
      <x:c r="M51" s="3"/>
      <x:c r="N51" s="78"/>
    </x:row>
    <x:row r="52" ht="21" customHeight="1">
      <x:c r="A52" s="6" t="str">
        <x:v>Cash from financing activities</x:v>
      </x:c>
      <x:c r="B52" s="3"/>
      <x:c r="C52" s="7" t="n">
        <x:v>-153.5923</x:v>
      </x:c>
      <x:c r="D52" s="7" t="n">
        <x:v>-63.8388</x:v>
      </x:c>
      <x:c r="E52" s="7" t="n">
        <x:v>-68.9063</x:v>
      </x:c>
      <x:c r="F52" s="7" t="n">
        <x:v>142.1</x:v>
      </x:c>
      <x:c r="G52" s="7" t="n">
        <x:v>33.48</x:v>
      </x:c>
      <x:c r="H52" s="5"/>
      <x:c r="I52" s="5"/>
      <x:c r="J52" s="5"/>
      <x:c r="K52" s="5"/>
      <x:c r="L52" s="5"/>
      <x:c r="M52" s="3"/>
      <x:c r="N52" s="78"/>
    </x:row>
    <x:row r="53" ht="21" customHeight="1">
      <x:c r="A53" s="6" t="str">
        <x:v>Separately reported FX effect on cash</x:v>
      </x:c>
      <x:c r="B53" s="3"/>
      <x:c r="C53" s="7" t="n">
        <x:v>0</x:v>
      </x:c>
      <x:c r="D53" s="7" t="n">
        <x:v>0</x:v>
      </x:c>
      <x:c r="E53" s="7" t="n">
        <x:v>0</x:v>
      </x:c>
      <x:c r="F53" s="7" t="n">
        <x:v>0</x:v>
      </x:c>
      <x:c r="G53" s="7" t="n">
        <x:v>0</x:v>
      </x:c>
      <x:c r="H53" s="5"/>
      <x:c r="I53" s="5"/>
      <x:c r="J53" s="5"/>
      <x:c r="K53" s="5"/>
      <x:c r="L53" s="5"/>
      <x:c r="M53" s="3"/>
      <x:c r="N53" s="78"/>
    </x:row>
    <x:row r="54" ht="21" customHeight="1">
      <x:c r="A54" s="6" t="str">
        <x:v>Opening cash and cash equivalents</x:v>
      </x:c>
      <x:c r="B54" s="3"/>
      <x:c r="C54" s="7" t="n">
        <x:v>38.2052</x:v>
      </x:c>
      <x:c r="D54" s="7" t="n">
        <x:v>22.5859</x:v>
      </x:c>
      <x:c r="E54" s="7" t="n">
        <x:v>55.9968</x:v>
      </x:c>
      <x:c r="F54" s="7" t="n">
        <x:v>112.54</x:v>
      </x:c>
      <x:c r="G54" s="7" t="n">
        <x:v>101.08</x:v>
      </x:c>
      <x:c r="H54" s="5"/>
      <x:c r="I54" s="5"/>
      <x:c r="J54" s="5"/>
      <x:c r="K54" s="5"/>
      <x:c r="L54" s="5"/>
      <x:c r="M54" s="3"/>
      <x:c r="N54" s="78"/>
    </x:row>
    <x:row r="55" ht="21" customHeight="1">
      <x:c r="A55" s="6" t="str">
        <x:v>Closing cash and cash equivalents</x:v>
      </x:c>
      <x:c r="B55" s="3"/>
      <x:c r="C55" s="7" t="n">
        <x:v>22.5859</x:v>
      </x:c>
      <x:c r="D55" s="7" t="n">
        <x:v>55.9968</x:v>
      </x:c>
      <x:c r="E55" s="7" t="n">
        <x:v>112.5423</x:v>
      </x:c>
      <x:c r="F55" s="7" t="n">
        <x:v>101.08</x:v>
      </x:c>
      <x:c r="G55" s="7" t="n">
        <x:v>117.9</x:v>
      </x:c>
      <x:c r="H55" s="5"/>
      <x:c r="I55" s="5"/>
      <x:c r="J55" s="5"/>
      <x:c r="K55" s="5"/>
      <x:c r="L55" s="5"/>
      <x:c r="M55" s="3"/>
      <x:c r="N55" s="78"/>
    </x:row>
    <x:row r="56" ht="21" customHeight="1">
      <x:c r="A56" s="6" t="str">
        <x:v>Cash capex incl. capital creditor changes</x:v>
      </x:c>
      <x:c r="B56" s="3"/>
      <x:c r="C56" s="5" t="n">
        <x:f>C97-C98</x:f>
        <x:v>48.001</x:v>
      </x:c>
      <x:c r="D56" s="5" t="n">
        <x:f>D97-D98</x:f>
        <x:v>80.9343</x:v>
      </x:c>
      <x:c r="E56" s="5" t="n">
        <x:f>E97-E98</x:f>
        <x:v>148.3413</x:v>
      </x:c>
      <x:c r="F56" s="5" t="n">
        <x:f>F97-F98</x:f>
        <x:v>215.53</x:v>
      </x:c>
      <x:c r="G56" s="5" t="n">
        <x:f>G97-G98</x:f>
        <x:v>307.13</x:v>
      </x:c>
      <x:c r="H56" s="5"/>
      <x:c r="I56" s="5"/>
      <x:c r="J56" s="5"/>
      <x:c r="K56" s="5"/>
      <x:c r="L56" s="5"/>
      <x:c r="M56" s="3"/>
      <x:c r="N56" s="78"/>
    </x:row>
    <x:row r="57" ht="21" customHeight="1">
      <x:c r="A57" s="6" t="str">
        <x:v>Acquisition cash outflow</x:v>
      </x:c>
      <x:c r="B57" s="3"/>
      <x:c r="C57" s="7" t="n">
        <x:v>0</x:v>
      </x:c>
      <x:c r="D57" s="7" t="n">
        <x:v>0</x:v>
      </x:c>
      <x:c r="E57" s="7" t="n">
        <x:v>0</x:v>
      </x:c>
      <x:c r="F57" s="7" t="n">
        <x:v>197.5</x:v>
      </x:c>
      <x:c r="G57" s="7" t="n">
        <x:v>0</x:v>
      </x:c>
      <x:c r="H57" s="5"/>
      <x:c r="I57" s="5"/>
      <x:c r="J57" s="5"/>
      <x:c r="K57" s="5"/>
      <x:c r="L57" s="5"/>
      <x:c r="M57" s="3"/>
      <x:c r="N57" s="78"/>
    </x:row>
    <x:row r="58" ht="21" customHeight="1">
      <x:c r="A58" s="6" t="str">
        <x:v>Cash dividends paid</x:v>
      </x:c>
      <x:c r="B58" s="3"/>
      <x:c r="C58" s="7" t="n">
        <x:v>0</x:v>
      </x:c>
      <x:c r="D58" s="7" t="n">
        <x:v>0</x:v>
      </x:c>
      <x:c r="E58" s="7" t="n">
        <x:v>0</x:v>
      </x:c>
      <x:c r="F58" s="7" t="n">
        <x:v>0</x:v>
      </x:c>
      <x:c r="G58" s="7" t="n">
        <x:v>24.38</x:v>
      </x:c>
      <x:c r="H58" s="5"/>
      <x:c r="I58" s="5"/>
      <x:c r="J58" s="5"/>
      <x:c r="K58" s="5"/>
      <x:c r="L58" s="5"/>
      <x:c r="M58" s="3"/>
      <x:c r="N58" s="78"/>
    </x:row>
    <x:row r="59" ht="21" customHeight="1">
      <x:c r="A59" s="6" t="str">
        <x:v>Shares outstanding (crore)</x:v>
      </x:c>
      <x:c r="B59" s="3"/>
      <x:c r="C59" s="7" t="n">
        <x:v>12.1881498</x:v>
      </x:c>
      <x:c r="D59" s="7" t="n">
        <x:v>12.1881498</x:v>
      </x:c>
      <x:c r="E59" s="7" t="n">
        <x:v>12.1881498</x:v>
      </x:c>
      <x:c r="F59" s="7" t="n">
        <x:v>12.1881498</x:v>
      </x:c>
      <x:c r="G59" s="7" t="n">
        <x:v>12.1881498</x:v>
      </x:c>
      <x:c r="H59" s="5"/>
      <x:c r="I59" s="5"/>
      <x:c r="J59" s="5"/>
      <x:c r="K59" s="5"/>
      <x:c r="L59" s="5"/>
      <x:c r="M59" s="3"/>
      <x:c r="N59" s="78"/>
    </x:row>
    <x:row r="60" ht="21" customHeight="1">
      <x:c r="A60" s="3"/>
      <x:c r="B60" s="3"/>
      <x:c r="C60" s="5"/>
      <x:c r="D60" s="5"/>
      <x:c r="E60" s="5"/>
      <x:c r="F60" s="5"/>
      <x:c r="G60" s="5"/>
      <x:c r="H60" s="5"/>
      <x:c r="I60" s="5"/>
      <x:c r="J60" s="5"/>
      <x:c r="K60" s="5"/>
      <x:c r="L60" s="5"/>
      <x:c r="M60" s="3"/>
      <x:c r="N60" s="78"/>
    </x:row>
    <x:row r="61" ht="21" customHeight="1">
      <x:c r="A61" s="6" t="str">
        <x:v>Sources: FY2023 annual report (restated FY2022); FY2024 (FY2023 comparative); FY2025 (FY2024); FY2026 (FY2025–FY2026).</x:v>
      </x:c>
      <x:c r="B61" s="3"/>
      <x:c r="C61" s="5"/>
      <x:c r="D61" s="5"/>
      <x:c r="E61" s="5"/>
      <x:c r="F61" s="5"/>
      <x:c r="G61" s="5"/>
      <x:c r="H61" s="5"/>
      <x:c r="I61" s="5"/>
      <x:c r="J61" s="5"/>
      <x:c r="K61" s="5"/>
      <x:c r="L61" s="5"/>
      <x:c r="M61" s="3"/>
      <x:c r="N61" s="78"/>
    </x:row>
    <x:row r="62" ht="21" customHeight="1">
      <x:c r="A62" s="6" t="str">
        <x:v>Earlier reports in INR lakh are divided by 100. Supplier finance is included in FY2025–FY2026 borrowings. No residual is classified as FX.</x:v>
      </x:c>
      <x:c r="B62" s="3"/>
      <x:c r="C62" s="5"/>
      <x:c r="D62" s="5"/>
      <x:c r="E62" s="5"/>
      <x:c r="F62" s="5"/>
      <x:c r="G62" s="5"/>
      <x:c r="H62" s="5"/>
      <x:c r="I62" s="5"/>
      <x:c r="J62" s="5"/>
      <x:c r="K62" s="5"/>
      <x:c r="L62" s="5"/>
      <x:c r="M62" s="3"/>
      <x:c r="N62" s="78"/>
    </x:row>
    <x:row r="63" ht="21" customHeight="1">
      <x:c r="A63" s="3"/>
      <x:c r="B63" s="3"/>
      <x:c r="C63" s="5"/>
      <x:c r="D63" s="5"/>
      <x:c r="E63" s="5"/>
      <x:c r="F63" s="5"/>
      <x:c r="G63" s="5"/>
      <x:c r="H63" s="5"/>
      <x:c r="I63" s="5"/>
      <x:c r="J63" s="5"/>
      <x:c r="K63" s="5"/>
      <x:c r="L63" s="5"/>
      <x:c r="M63" s="3"/>
      <x:c r="N63" s="78"/>
    </x:row>
    <x:row r="64" ht="21" customHeight="1">
      <x:c r="A64" s="6" t="str">
        <x:v>Statement components</x:v>
      </x:c>
      <x:c r="B64" s="3"/>
      <x:c r="C64" s="5"/>
      <x:c r="D64" s="5"/>
      <x:c r="E64" s="5"/>
      <x:c r="F64" s="5"/>
      <x:c r="G64" s="5"/>
      <x:c r="H64" s="5"/>
      <x:c r="I64" s="5"/>
      <x:c r="J64" s="5"/>
      <x:c r="K64" s="5"/>
      <x:c r="L64" s="5"/>
      <x:c r="M64" s="3"/>
      <x:c r="N64" s="78"/>
    </x:row>
    <x:row r="65" ht="21" customHeight="1">
      <x:c r="A65" s="6" t="str">
        <x:v>Materials consumed</x:v>
      </x:c>
      <x:c r="B65" s="3"/>
      <x:c r="C65" s="7" t="n">
        <x:v>1013.3788</x:v>
      </x:c>
      <x:c r="D65" s="7" t="n">
        <x:v>1324.1144</x:v>
      </x:c>
      <x:c r="E65" s="7" t="n">
        <x:v>1509.7239</x:v>
      </x:c>
      <x:c r="F65" s="7" t="n">
        <x:v>1777.49</x:v>
      </x:c>
      <x:c r="G65" s="7" t="n">
        <x:v>2754.88</x:v>
      </x:c>
      <x:c r="H65" s="5"/>
      <x:c r="I65" s="5"/>
      <x:c r="J65" s="5"/>
      <x:c r="K65" s="5"/>
      <x:c r="L65" s="5"/>
      <x:c r="M65" s="3"/>
      <x:c r="N65" s="78"/>
    </x:row>
    <x:row r="66" ht="21" customHeight="1">
      <x:c r="A66" s="6" t="str">
        <x:v>Purchases of stock-in-trade</x:v>
      </x:c>
      <x:c r="B66" s="3"/>
      <x:c r="C66" s="7" t="n">
        <x:v>47.9208</x:v>
      </x:c>
      <x:c r="D66" s="7" t="n">
        <x:v>59.7232</x:v>
      </x:c>
      <x:c r="E66" s="7" t="n">
        <x:v>71.486</x:v>
      </x:c>
      <x:c r="F66" s="7" t="n">
        <x:v>78.08</x:v>
      </x:c>
      <x:c r="G66" s="7" t="n">
        <x:v>82.41</x:v>
      </x:c>
      <x:c r="H66" s="5"/>
      <x:c r="I66" s="5"/>
      <x:c r="J66" s="5"/>
      <x:c r="K66" s="5"/>
      <x:c r="L66" s="5"/>
      <x:c r="M66" s="3"/>
      <x:c r="N66" s="78"/>
    </x:row>
    <x:row r="67" ht="21" customHeight="1">
      <x:c r="A67" s="6" t="str">
        <x:v>Changes in inventories</x:v>
      </x:c>
      <x:c r="B67" s="3"/>
      <x:c r="C67" s="7" t="n">
        <x:v>8.3311</x:v>
      </x:c>
      <x:c r="D67" s="7" t="n">
        <x:v>-10.5475</x:v>
      </x:c>
      <x:c r="E67" s="7" t="n">
        <x:v>-25.9901</x:v>
      </x:c>
      <x:c r="F67" s="7" t="n">
        <x:v>5.17</x:v>
      </x:c>
      <x:c r="G67" s="7" t="n">
        <x:v>-43.44</x:v>
      </x:c>
      <x:c r="H67" s="5"/>
      <x:c r="I67" s="5"/>
      <x:c r="J67" s="5"/>
      <x:c r="K67" s="5"/>
      <x:c r="L67" s="5"/>
      <x:c r="M67" s="3"/>
      <x:c r="N67" s="78"/>
    </x:row>
    <x:row r="68" ht="21" customHeight="1">
      <x:c r="A68" s="6" t="str">
        <x:v>Employee expenses</x:v>
      </x:c>
      <x:c r="B68" s="3"/>
      <x:c r="C68" s="7" t="n">
        <x:v>191.8065</x:v>
      </x:c>
      <x:c r="D68" s="7" t="n">
        <x:v>227.4933</x:v>
      </x:c>
      <x:c r="E68" s="7" t="n">
        <x:v>262.6404</x:v>
      </x:c>
      <x:c r="F68" s="7" t="n">
        <x:v>324.7</x:v>
      </x:c>
      <x:c r="G68" s="7" t="n">
        <x:v>470.39</x:v>
      </x:c>
      <x:c r="H68" s="5"/>
      <x:c r="I68" s="5"/>
      <x:c r="J68" s="5"/>
      <x:c r="K68" s="5"/>
      <x:c r="L68" s="5"/>
      <x:c r="M68" s="3"/>
      <x:c r="N68" s="78"/>
    </x:row>
    <x:row r="69" ht="21" customHeight="1">
      <x:c r="A69" s="6" t="str">
        <x:v>Other operating expenses</x:v>
      </x:c>
      <x:c r="B69" s="3"/>
      <x:c r="C69" s="7" t="n">
        <x:v>102.6756</x:v>
      </x:c>
      <x:c r="D69" s="7" t="n">
        <x:v>129.3023</x:v>
      </x:c>
      <x:c r="E69" s="7" t="n">
        <x:v>180.8652</x:v>
      </x:c>
      <x:c r="F69" s="7" t="n">
        <x:v>193.59</x:v>
      </x:c>
      <x:c r="G69" s="7" t="n">
        <x:v>307.19</x:v>
      </x:c>
      <x:c r="H69" s="5"/>
      <x:c r="I69" s="5"/>
      <x:c r="J69" s="5"/>
      <x:c r="K69" s="5"/>
      <x:c r="L69" s="5"/>
      <x:c r="M69" s="3"/>
      <x:c r="N69" s="78"/>
    </x:row>
    <x:row r="70" ht="21" customHeight="1">
      <x:c r="A70" s="6" t="str">
        <x:v>Current tax expense</x:v>
      </x:c>
      <x:c r="B70" s="3"/>
      <x:c r="C70" s="7" t="n">
        <x:v>30.9033</x:v>
      </x:c>
      <x:c r="D70" s="7" t="n">
        <x:v>36.2032</x:v>
      </x:c>
      <x:c r="E70" s="7" t="n">
        <x:v>50.4519</x:v>
      </x:c>
      <x:c r="F70" s="7" t="n">
        <x:v>65.12</x:v>
      </x:c>
      <x:c r="G70" s="7" t="n">
        <x:v>82.69</x:v>
      </x:c>
      <x:c r="H70" s="5"/>
      <x:c r="I70" s="5"/>
      <x:c r="J70" s="5"/>
      <x:c r="K70" s="5"/>
      <x:c r="L70" s="5"/>
      <x:c r="M70" s="3"/>
      <x:c r="N70" s="78"/>
    </x:row>
    <x:row r="71" ht="21" customHeight="1">
      <x:c r="A71" s="6" t="str">
        <x:v>Deferred tax expense</x:v>
      </x:c>
      <x:c r="B71" s="3"/>
      <x:c r="C71" s="7" t="n">
        <x:v>-1.7323</x:v>
      </x:c>
      <x:c r="D71" s="7" t="n">
        <x:v>-14.2685</x:v>
      </x:c>
      <x:c r="E71" s="7" t="n">
        <x:v>-4.2548</x:v>
      </x:c>
      <x:c r="F71" s="7" t="n">
        <x:v>-5.46</x:v>
      </x:c>
      <x:c r="G71" s="7" t="n">
        <x:v>-4.89</x:v>
      </x:c>
      <x:c r="H71" s="5"/>
      <x:c r="I71" s="5"/>
      <x:c r="J71" s="5"/>
      <x:c r="K71" s="5"/>
      <x:c r="L71" s="5"/>
      <x:c r="M71" s="3"/>
      <x:c r="N71" s="78"/>
    </x:row>
    <x:row r="72" ht="21" customHeight="1">
      <x:c r="A72" s="6" t="str">
        <x:v>Tax relating to earlier years</x:v>
      </x:c>
      <x:c r="B72" s="3"/>
      <x:c r="C72" s="7" t="n">
        <x:v>0.0147</x:v>
      </x:c>
      <x:c r="D72" s="7" t="n">
        <x:v>0</x:v>
      </x:c>
      <x:c r="E72" s="7" t="n">
        <x:v>-0.904</x:v>
      </x:c>
      <x:c r="F72" s="7" t="n">
        <x:v>-0.08</x:v>
      </x:c>
      <x:c r="G72" s="7" t="n">
        <x:v>2.34</x:v>
      </x:c>
      <x:c r="H72" s="5"/>
      <x:c r="I72" s="5"/>
      <x:c r="J72" s="5"/>
      <x:c r="K72" s="5"/>
      <x:c r="L72" s="5"/>
      <x:c r="M72" s="3"/>
      <x:c r="N72" s="78"/>
    </x:row>
    <x:row r="73" ht="21" customHeight="1">
      <x:c r="A73" s="6" t="str">
        <x:v>Goodwill</x:v>
      </x:c>
      <x:c r="B73" s="3"/>
      <x:c r="C73" s="7" t="n">
        <x:v>79.472</x:v>
      </x:c>
      <x:c r="D73" s="7" t="n">
        <x:v>69.538</x:v>
      </x:c>
      <x:c r="E73" s="7" t="n">
        <x:v>59.604</x:v>
      </x:c>
      <x:c r="F73" s="7" t="n">
        <x:v>51.72</x:v>
      </x:c>
      <x:c r="G73" s="7" t="n">
        <x:v>41.79</x:v>
      </x:c>
      <x:c r="H73" s="5"/>
      <x:c r="I73" s="5"/>
      <x:c r="J73" s="5"/>
      <x:c r="K73" s="5"/>
      <x:c r="L73" s="5"/>
      <x:c r="M73" s="3"/>
      <x:c r="N73" s="78"/>
    </x:row>
    <x:row r="74" ht="21" customHeight="1">
      <x:c r="A74" s="6" t="str">
        <x:v>Other intangible assets</x:v>
      </x:c>
      <x:c r="B74" s="3"/>
      <x:c r="C74" s="7" t="n">
        <x:v>103.4383</x:v>
      </x:c>
      <x:c r="D74" s="7" t="n">
        <x:v>90.2946</x:v>
      </x:c>
      <x:c r="E74" s="7" t="n">
        <x:v>78.4071</x:v>
      </x:c>
      <x:c r="F74" s="7" t="n">
        <x:v>79.9</x:v>
      </x:c>
      <x:c r="G74" s="7" t="n">
        <x:v>63.69</x:v>
      </x:c>
      <x:c r="H74" s="5"/>
      <x:c r="I74" s="5"/>
      <x:c r="J74" s="5"/>
      <x:c r="K74" s="5"/>
      <x:c r="L74" s="5"/>
      <x:c r="M74" s="3"/>
      <x:c r="N74" s="78"/>
    </x:row>
    <x:row r="75" ht="21" customHeight="1">
      <x:c r="A75" s="6" t="str">
        <x:v>Intangibles under development</x:v>
      </x:c>
      <x:c r="B75" s="3"/>
      <x:c r="C75" s="7" t="n">
        <x:v>0</x:v>
      </x:c>
      <x:c r="D75" s="7" t="n">
        <x:v>0.6249</x:v>
      </x:c>
      <x:c r="E75" s="7" t="n">
        <x:v>0.3815</x:v>
      </x:c>
      <x:c r="F75" s="7" t="n">
        <x:v>0.47</x:v>
      </x:c>
      <x:c r="G75" s="7" t="n">
        <x:v>0.06</x:v>
      </x:c>
      <x:c r="H75" s="5"/>
      <x:c r="I75" s="5"/>
      <x:c r="J75" s="5"/>
      <x:c r="K75" s="5"/>
      <x:c r="L75" s="5"/>
      <x:c r="M75" s="3"/>
      <x:c r="N75" s="78"/>
    </x:row>
    <x:row r="76" ht="21" customHeight="1">
      <x:c r="A76" s="6" t="str">
        <x:v>Investment property</x:v>
      </x:c>
      <x:c r="B76" s="3"/>
      <x:c r="C76" s="7" t="n">
        <x:v>15.3879</x:v>
      </x:c>
      <x:c r="D76" s="7" t="n">
        <x:v>6.9497</x:v>
      </x:c>
      <x:c r="E76" s="7" t="n">
        <x:v>6.6861</x:v>
      </x:c>
      <x:c r="F76" s="7" t="n">
        <x:v>6.42</x:v>
      </x:c>
      <x:c r="G76" s="7" t="n">
        <x:v>6.16</x:v>
      </x:c>
      <x:c r="H76" s="5"/>
      <x:c r="I76" s="5"/>
      <x:c r="J76" s="5"/>
      <x:c r="K76" s="5"/>
      <x:c r="L76" s="5"/>
      <x:c r="M76" s="3"/>
      <x:c r="N76" s="78"/>
    </x:row>
    <x:row r="77" ht="21" customHeight="1">
      <x:c r="A77" s="6" t="str">
        <x:v>Non-current investments</x:v>
      </x:c>
      <x:c r="B77" s="3"/>
      <x:c r="C77" s="7" t="n">
        <x:v>0</x:v>
      </x:c>
      <x:c r="D77" s="7" t="n">
        <x:v>1.2</x:v>
      </x:c>
      <x:c r="E77" s="7" t="n">
        <x:v>1.2</x:v>
      </x:c>
      <x:c r="F77" s="7" t="n">
        <x:v>7.14</x:v>
      </x:c>
      <x:c r="G77" s="7" t="n">
        <x:v>7.38</x:v>
      </x:c>
      <x:c r="H77" s="5"/>
      <x:c r="I77" s="5"/>
      <x:c r="J77" s="5"/>
      <x:c r="K77" s="5"/>
      <x:c r="L77" s="5"/>
      <x:c r="M77" s="3"/>
      <x:c r="N77" s="78"/>
    </x:row>
    <x:row r="78" ht="21" customHeight="1">
      <x:c r="A78" s="6" t="str">
        <x:v>Non-current financial assets</x:v>
      </x:c>
      <x:c r="B78" s="3"/>
      <x:c r="C78" s="7" t="n">
        <x:v>6.7312</x:v>
      </x:c>
      <x:c r="D78" s="7" t="n">
        <x:v>7.3252</x:v>
      </x:c>
      <x:c r="E78" s="7" t="n">
        <x:v>6.913</x:v>
      </x:c>
      <x:c r="F78" s="7" t="n">
        <x:v>8.36</x:v>
      </x:c>
      <x:c r="G78" s="7" t="n">
        <x:v>9.4</x:v>
      </x:c>
      <x:c r="H78" s="5"/>
      <x:c r="I78" s="5"/>
      <x:c r="J78" s="5"/>
      <x:c r="K78" s="5"/>
      <x:c r="L78" s="5"/>
      <x:c r="M78" s="3"/>
      <x:c r="N78" s="78"/>
    </x:row>
    <x:row r="79" ht="21" customHeight="1">
      <x:c r="A79" s="6" t="str">
        <x:v>Deferred tax assets</x:v>
      </x:c>
      <x:c r="B79" s="3"/>
      <x:c r="C79" s="7" t="n">
        <x:v>0.6326</x:v>
      </x:c>
      <x:c r="D79" s="7" t="n">
        <x:v>0.3462</x:v>
      </x:c>
      <x:c r="E79" s="7" t="n">
        <x:v>0.2961</x:v>
      </x:c>
      <x:c r="F79" s="7" t="n">
        <x:v>0.21</x:v>
      </x:c>
      <x:c r="G79" s="7" t="n">
        <x:v>0.26</x:v>
      </x:c>
      <x:c r="H79" s="5"/>
      <x:c r="I79" s="5"/>
      <x:c r="J79" s="5"/>
      <x:c r="K79" s="5"/>
      <x:c r="L79" s="5"/>
      <x:c r="M79" s="3"/>
      <x:c r="N79" s="78"/>
    </x:row>
    <x:row r="80" ht="21" customHeight="1">
      <x:c r="A80" s="6" t="str">
        <x:v>Non-current tax assets</x:v>
      </x:c>
      <x:c r="B80" s="3"/>
      <x:c r="C80" s="7" t="n">
        <x:v>0</x:v>
      </x:c>
      <x:c r="D80" s="7" t="n">
        <x:v>0</x:v>
      </x:c>
      <x:c r="E80" s="7" t="n">
        <x:v>0</x:v>
      </x:c>
      <x:c r="F80" s="7" t="n">
        <x:v>2.88</x:v>
      </x:c>
      <x:c r="G80" s="7" t="n">
        <x:v>1.56</x:v>
      </x:c>
      <x:c r="H80" s="5"/>
      <x:c r="I80" s="5"/>
      <x:c r="J80" s="5"/>
      <x:c r="K80" s="5"/>
      <x:c r="L80" s="5"/>
      <x:c r="M80" s="3"/>
      <x:c r="N80" s="78"/>
    </x:row>
    <x:row r="81" ht="21" customHeight="1">
      <x:c r="A81" s="6" t="str">
        <x:v>Other non-current assets</x:v>
      </x:c>
      <x:c r="B81" s="3"/>
      <x:c r="C81" s="7" t="n">
        <x:v>21.8495</x:v>
      </x:c>
      <x:c r="D81" s="7" t="n">
        <x:v>23.214</x:v>
      </x:c>
      <x:c r="E81" s="7" t="n">
        <x:v>14.3805</x:v>
      </x:c>
      <x:c r="F81" s="7" t="n">
        <x:v>9.2</x:v>
      </x:c>
      <x:c r="G81" s="7" t="n">
        <x:v>8.15</x:v>
      </x:c>
      <x:c r="H81" s="5"/>
      <x:c r="I81" s="5"/>
      <x:c r="J81" s="5"/>
      <x:c r="K81" s="5"/>
      <x:c r="L81" s="5"/>
      <x:c r="M81" s="3"/>
      <x:c r="N81" s="78"/>
    </x:row>
    <x:row r="82" ht="21" customHeight="1">
      <x:c r="A82" s="6" t="str">
        <x:v>Other bank balances</x:v>
      </x:c>
      <x:c r="B82" s="3"/>
      <x:c r="C82" s="7" t="n">
        <x:v>28.1088</x:v>
      </x:c>
      <x:c r="D82" s="7" t="n">
        <x:v>27.9419</x:v>
      </x:c>
      <x:c r="E82" s="7" t="n">
        <x:v>1.0934</x:v>
      </x:c>
      <x:c r="F82" s="7" t="n">
        <x:v>0.95</x:v>
      </x:c>
      <x:c r="G82" s="7" t="n">
        <x:v>1</x:v>
      </x:c>
      <x:c r="H82" s="5"/>
      <x:c r="I82" s="5"/>
      <x:c r="J82" s="5"/>
      <x:c r="K82" s="5"/>
      <x:c r="L82" s="5"/>
      <x:c r="M82" s="3"/>
      <x:c r="N82" s="78"/>
    </x:row>
    <x:row r="83" ht="21" customHeight="1">
      <x:c r="A83" s="6" t="str">
        <x:v>Other current financial assets</x:v>
      </x:c>
      <x:c r="B83" s="3"/>
      <x:c r="C83" s="7" t="n">
        <x:v>0.8149</x:v>
      </x:c>
      <x:c r="D83" s="7" t="n">
        <x:v>0.2996</x:v>
      </x:c>
      <x:c r="E83" s="7" t="n">
        <x:v>1.478</x:v>
      </x:c>
      <x:c r="F83" s="7" t="n">
        <x:v>1.35</x:v>
      </x:c>
      <x:c r="G83" s="7" t="n">
        <x:v>2.13</x:v>
      </x:c>
      <x:c r="H83" s="5"/>
      <x:c r="I83" s="5"/>
      <x:c r="J83" s="5"/>
      <x:c r="K83" s="5"/>
      <x:c r="L83" s="5"/>
      <x:c r="M83" s="3"/>
      <x:c r="N83" s="78"/>
    </x:row>
    <x:row r="84" ht="21" customHeight="1">
      <x:c r="A84" s="6" t="str">
        <x:v>Other current assets</x:v>
      </x:c>
      <x:c r="B84" s="3"/>
      <x:c r="C84" s="7" t="n">
        <x:v>20.2461</x:v>
      </x:c>
      <x:c r="D84" s="7" t="n">
        <x:v>15.5953</x:v>
      </x:c>
      <x:c r="E84" s="7" t="n">
        <x:v>15.3629</x:v>
      </x:c>
      <x:c r="F84" s="7" t="n">
        <x:v>34.6</x:v>
      </x:c>
      <x:c r="G84" s="7" t="n">
        <x:v>47.2</x:v>
      </x:c>
      <x:c r="H84" s="5"/>
      <x:c r="I84" s="5"/>
      <x:c r="J84" s="5"/>
      <x:c r="K84" s="5"/>
      <x:c r="L84" s="5"/>
      <x:c r="M84" s="3"/>
      <x:c r="N84" s="78"/>
    </x:row>
    <x:row r="85" ht="21" customHeight="1">
      <x:c r="A85" s="6" t="str">
        <x:v>Assets held for sale</x:v>
      </x:c>
      <x:c r="B85" s="3"/>
      <x:c r="C85" s="7" t="n">
        <x:v>0</x:v>
      </x:c>
      <x:c r="D85" s="7" t="n">
        <x:v>19.5691</x:v>
      </x:c>
      <x:c r="E85" s="7" t="n">
        <x:v>0</x:v>
      </x:c>
      <x:c r="F85" s="7" t="n">
        <x:v>0</x:v>
      </x:c>
      <x:c r="G85" s="7" t="n">
        <x:v>0</x:v>
      </x:c>
      <x:c r="H85" s="5"/>
      <x:c r="I85" s="5"/>
      <x:c r="J85" s="5"/>
      <x:c r="K85" s="5"/>
      <x:c r="L85" s="5"/>
      <x:c r="M85" s="3"/>
      <x:c r="N85" s="78"/>
    </x:row>
    <x:row r="86" ht="21" customHeight="1">
      <x:c r="A86" s="6" t="str">
        <x:v>Trade payables to SMEs</x:v>
      </x:c>
      <x:c r="B86" s="3"/>
      <x:c r="C86" s="7" t="n">
        <x:v>10.9203</x:v>
      </x:c>
      <x:c r="D86" s="7" t="n">
        <x:v>19.1689</x:v>
      </x:c>
      <x:c r="E86" s="7" t="n">
        <x:v>22.8136</x:v>
      </x:c>
      <x:c r="F86" s="7" t="n">
        <x:v>43.66</x:v>
      </x:c>
      <x:c r="G86" s="7" t="n">
        <x:v>102.84</x:v>
      </x:c>
      <x:c r="H86" s="5"/>
      <x:c r="I86" s="5"/>
      <x:c r="J86" s="5"/>
      <x:c r="K86" s="5"/>
      <x:c r="L86" s="5"/>
      <x:c r="M86" s="3"/>
      <x:c r="N86" s="78"/>
    </x:row>
    <x:row r="87" ht="21" customHeight="1">
      <x:c r="A87" s="6" t="str">
        <x:v>Other trade payables</x:v>
      </x:c>
      <x:c r="B87" s="3"/>
      <x:c r="C87" s="7" t="n">
        <x:v>259.0242</x:v>
      </x:c>
      <x:c r="D87" s="7" t="n">
        <x:v>263.4614</x:v>
      </x:c>
      <x:c r="E87" s="7" t="n">
        <x:v>302.9982</x:v>
      </x:c>
      <x:c r="F87" s="7" t="n">
        <x:v>336.22</x:v>
      </x:c>
      <x:c r="G87" s="7" t="n">
        <x:v>443.39</x:v>
      </x:c>
      <x:c r="H87" s="5"/>
      <x:c r="I87" s="5"/>
      <x:c r="J87" s="5"/>
      <x:c r="K87" s="5"/>
      <x:c r="L87" s="5"/>
      <x:c r="M87" s="3"/>
      <x:c r="N87" s="78"/>
    </x:row>
    <x:row r="88" ht="21" customHeight="1">
      <x:c r="A88" s="6" t="str">
        <x:v>Non-current financial liabilities</x:v>
      </x:c>
      <x:c r="B88" s="3"/>
      <x:c r="C88" s="7" t="n">
        <x:v>4.907</x:v>
      </x:c>
      <x:c r="D88" s="7" t="n">
        <x:v>0.8097</x:v>
      </x:c>
      <x:c r="E88" s="7" t="n">
        <x:v>0.8827</x:v>
      </x:c>
      <x:c r="F88" s="7" t="n">
        <x:v>1</x:v>
      </x:c>
      <x:c r="G88" s="7" t="n">
        <x:v>0.96</x:v>
      </x:c>
      <x:c r="H88" s="5"/>
      <x:c r="I88" s="5"/>
      <x:c r="J88" s="5"/>
      <x:c r="K88" s="5"/>
      <x:c r="L88" s="5"/>
      <x:c r="M88" s="3"/>
      <x:c r="N88" s="78"/>
    </x:row>
    <x:row r="89" ht="21" customHeight="1">
      <x:c r="A89" s="6" t="str">
        <x:v>Non-current provisions</x:v>
      </x:c>
      <x:c r="B89" s="3"/>
      <x:c r="C89" s="7" t="n">
        <x:v>12.3543</x:v>
      </x:c>
      <x:c r="D89" s="7" t="n">
        <x:v>14.8648</x:v>
      </x:c>
      <x:c r="E89" s="7" t="n">
        <x:v>19.0161</x:v>
      </x:c>
      <x:c r="F89" s="7" t="n">
        <x:v>15.47</x:v>
      </x:c>
      <x:c r="G89" s="7" t="n">
        <x:v>12</x:v>
      </x:c>
      <x:c r="H89" s="5"/>
      <x:c r="I89" s="5"/>
      <x:c r="J89" s="5"/>
      <x:c r="K89" s="5"/>
      <x:c r="L89" s="5"/>
      <x:c r="M89" s="3"/>
      <x:c r="N89" s="78"/>
    </x:row>
    <x:row r="90" ht="21" customHeight="1">
      <x:c r="A90" s="6" t="str">
        <x:v>Deferred tax liabilities</x:v>
      </x:c>
      <x:c r="B90" s="3"/>
      <x:c r="C90" s="7" t="n">
        <x:v>56.3166</x:v>
      </x:c>
      <x:c r="D90" s="7" t="n">
        <x:v>41.0675</x:v>
      </x:c>
      <x:c r="E90" s="7" t="n">
        <x:v>34.8397</x:v>
      </x:c>
      <x:c r="F90" s="7" t="n">
        <x:v>30.15</x:v>
      </x:c>
      <x:c r="G90" s="7" t="n">
        <x:v>24.83</x:v>
      </x:c>
      <x:c r="H90" s="5"/>
      <x:c r="I90" s="5"/>
      <x:c r="J90" s="5"/>
      <x:c r="K90" s="5"/>
      <x:c r="L90" s="5"/>
      <x:c r="M90" s="3"/>
      <x:c r="N90" s="78"/>
    </x:row>
    <x:row r="91" ht="21" customHeight="1">
      <x:c r="A91" s="6" t="str">
        <x:v>Other non-current liabilities</x:v>
      </x:c>
      <x:c r="B91" s="3"/>
      <x:c r="C91" s="7" t="n">
        <x:v>0</x:v>
      </x:c>
      <x:c r="D91" s="7" t="n">
        <x:v>1.2789</x:v>
      </x:c>
      <x:c r="E91" s="7" t="n">
        <x:v>1.9924</x:v>
      </x:c>
      <x:c r="F91" s="7" t="n">
        <x:v>4.48</x:v>
      </x:c>
      <x:c r="G91" s="7" t="n">
        <x:v>3.76</x:v>
      </x:c>
      <x:c r="H91" s="5"/>
      <x:c r="I91" s="5"/>
      <x:c r="J91" s="5"/>
      <x:c r="K91" s="5"/>
      <x:c r="L91" s="5"/>
      <x:c r="M91" s="3"/>
      <x:c r="N91" s="78"/>
    </x:row>
    <x:row r="92" ht="21" customHeight="1">
      <x:c r="A92" s="6" t="str">
        <x:v>Other current financial liabilities</x:v>
      </x:c>
      <x:c r="B92" s="3"/>
      <x:c r="C92" s="7" t="n">
        <x:v>95.9695</x:v>
      </x:c>
      <x:c r="D92" s="7" t="n">
        <x:v>105.9194</x:v>
      </x:c>
      <x:c r="E92" s="7" t="n">
        <x:v>89.8349</x:v>
      </x:c>
      <x:c r="F92" s="7" t="n">
        <x:v>79.35</x:v>
      </x:c>
      <x:c r="G92" s="7" t="n">
        <x:v>108.33</x:v>
      </x:c>
      <x:c r="H92" s="5"/>
      <x:c r="I92" s="5"/>
      <x:c r="J92" s="5"/>
      <x:c r="K92" s="5"/>
      <x:c r="L92" s="5"/>
      <x:c r="M92" s="3"/>
      <x:c r="N92" s="78"/>
    </x:row>
    <x:row r="93" ht="21" customHeight="1">
      <x:c r="A93" s="6" t="str">
        <x:v>Other current liabilities</x:v>
      </x:c>
      <x:c r="B93" s="3"/>
      <x:c r="C93" s="7" t="n">
        <x:v>17.8505</x:v>
      </x:c>
      <x:c r="D93" s="7" t="n">
        <x:v>25.8638</x:v>
      </x:c>
      <x:c r="E93" s="7" t="n">
        <x:v>27.5525</x:v>
      </x:c>
      <x:c r="F93" s="7" t="n">
        <x:v>51.68</x:v>
      </x:c>
      <x:c r="G93" s="7" t="n">
        <x:v>42.13</x:v>
      </x:c>
      <x:c r="H93" s="5"/>
      <x:c r="I93" s="5"/>
      <x:c r="J93" s="5"/>
      <x:c r="K93" s="5"/>
      <x:c r="L93" s="5"/>
      <x:c r="M93" s="3"/>
      <x:c r="N93" s="78"/>
    </x:row>
    <x:row r="94" ht="21" customHeight="1">
      <x:c r="A94" s="6" t="str">
        <x:v>Current provisions</x:v>
      </x:c>
      <x:c r="B94" s="3"/>
      <x:c r="C94" s="7" t="n">
        <x:v>10.4561</x:v>
      </x:c>
      <x:c r="D94" s="7" t="n">
        <x:v>11.1127</x:v>
      </x:c>
      <x:c r="E94" s="7" t="n">
        <x:v>26.9282</x:v>
      </x:c>
      <x:c r="F94" s="7" t="n">
        <x:v>30.69</x:v>
      </x:c>
      <x:c r="G94" s="7" t="n">
        <x:v>43.4</x:v>
      </x:c>
      <x:c r="H94" s="5"/>
      <x:c r="I94" s="5"/>
      <x:c r="J94" s="5"/>
      <x:c r="K94" s="5"/>
      <x:c r="L94" s="5"/>
      <x:c r="M94" s="3"/>
      <x:c r="N94" s="78"/>
    </x:row>
    <x:row r="95" ht="21" customHeight="1">
      <x:c r="A95" s="6" t="str">
        <x:v>Current tax liabilities</x:v>
      </x:c>
      <x:c r="B95" s="3"/>
      <x:c r="C95" s="7" t="n">
        <x:v>1.3557</x:v>
      </x:c>
      <x:c r="D95" s="7" t="n">
        <x:v>2.627</x:v>
      </x:c>
      <x:c r="E95" s="7" t="n">
        <x:v>2.6244</x:v>
      </x:c>
      <x:c r="F95" s="7" t="n">
        <x:v>61.78</x:v>
      </x:c>
      <x:c r="G95" s="7" t="n">
        <x:v>59.61</x:v>
      </x:c>
      <x:c r="H95" s="5"/>
      <x:c r="I95" s="5"/>
      <x:c r="J95" s="5"/>
      <x:c r="K95" s="5"/>
      <x:c r="L95" s="5"/>
      <x:c r="M95" s="3"/>
      <x:c r="N95" s="78"/>
    </x:row>
    <x:row r="96" ht="21" customHeight="1">
      <x:c r="A96" s="6" t="str">
        <x:v>Liabilities held for sale</x:v>
      </x:c>
      <x:c r="B96" s="3"/>
      <x:c r="C96" s="7" t="n">
        <x:v>0</x:v>
      </x:c>
      <x:c r="D96" s="7" t="n">
        <x:v>6.72</x:v>
      </x:c>
      <x:c r="E96" s="7" t="n">
        <x:v>0</x:v>
      </x:c>
      <x:c r="F96" s="7" t="n">
        <x:v>0</x:v>
      </x:c>
      <x:c r="G96" s="7" t="n">
        <x:v>0</x:v>
      </x:c>
      <x:c r="H96" s="5"/>
      <x:c r="I96" s="5"/>
      <x:c r="J96" s="5"/>
      <x:c r="K96" s="5"/>
      <x:c r="L96" s="5"/>
      <x:c r="M96" s="3"/>
      <x:c r="N96" s="78"/>
    </x:row>
    <x:row r="97" ht="21" customHeight="1">
      <x:c r="A97" s="6" t="str">
        <x:v>Purchase of fixed assets</x:v>
      </x:c>
      <x:c r="B97" s="3"/>
      <x:c r="C97" s="7" t="n">
        <x:v>44.8514</x:v>
      </x:c>
      <x:c r="D97" s="7" t="n">
        <x:v>84.8891</x:v>
      </x:c>
      <x:c r="E97" s="7" t="n">
        <x:v>143.3012</x:v>
      </x:c>
      <x:c r="F97" s="7" t="n">
        <x:v>216.27</x:v>
      </x:c>
      <x:c r="G97" s="7" t="n">
        <x:v>323.38</x:v>
      </x:c>
      <x:c r="H97" s="5"/>
      <x:c r="I97" s="5"/>
      <x:c r="J97" s="5"/>
      <x:c r="K97" s="5"/>
      <x:c r="L97" s="5"/>
      <x:c r="M97" s="3"/>
      <x:c r="N97" s="78"/>
    </x:row>
    <x:row r="98" ht="21" customHeight="1">
      <x:c r="A98" s="6" t="str">
        <x:v>Capital advances / creditors cash adjustment</x:v>
      </x:c>
      <x:c r="B98" s="3"/>
      <x:c r="C98" s="7" t="n">
        <x:v>-3.1496</x:v>
      </x:c>
      <x:c r="D98" s="7" t="n">
        <x:v>3.9548</x:v>
      </x:c>
      <x:c r="E98" s="7" t="n">
        <x:v>-5.0401</x:v>
      </x:c>
      <x:c r="F98" s="7" t="n">
        <x:v>0.74</x:v>
      </x:c>
      <x:c r="G98" s="7" t="n">
        <x:v>16.25</x:v>
      </x:c>
      <x:c r="H98" s="5"/>
      <x:c r="I98" s="5"/>
      <x:c r="J98" s="5"/>
      <x:c r="K98" s="5"/>
      <x:c r="L98" s="5"/>
      <x:c r="M98" s="3"/>
      <x:c r="N98" s="78"/>
    </x:row>
    <x:row r="99" ht="21" customHeight="1">
      <x:c r="A99" s="3"/>
      <x:c r="B99" s="3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3"/>
      <x:c r="N99" s="78"/>
    </x:row>
    <x:row r="100" ht="21" customHeight="1">
      <x:c r="A100" s="6" t="str">
        <x:v>Reported EBITDA reconciliation</x:v>
      </x:c>
      <x:c r="B100" s="3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3"/>
      <x:c r="N100" s="78"/>
    </x:row>
    <x:row r="101" ht="21" customHeight="1">
      <x:c r="A101" s="6" t="str">
        <x:v>Management-reported EBITDA</x:v>
      </x:c>
      <x:c r="B101" s="3"/>
      <x:c r="C101" s="5"/>
      <x:c r="D101" s="5"/>
      <x:c r="E101" s="5"/>
      <x:c r="F101" s="7" t="n">
        <x:v>334.11</x:v>
      </x:c>
      <x:c r="G101" s="7" t="n">
        <x:v>492.91</x:v>
      </x:c>
      <x:c r="H101" s="5"/>
      <x:c r="I101" s="5"/>
      <x:c r="J101" s="5"/>
      <x:c r="K101" s="5"/>
      <x:c r="L101" s="5"/>
      <x:c r="M101" s="3"/>
      <x:c r="N101" s="3"/>
    </x:row>
    <x:row r="102" ht="21" customHeight="1">
      <x:c r="A102" s="6" t="str">
        <x:v>Operating EBITDA</x:v>
      </x:c>
      <x:c r="B102" s="3"/>
      <x:c r="C102" s="5"/>
      <x:c r="D102" s="5"/>
      <x:c r="E102" s="5"/>
      <x:c r="F102" s="5" t="n">
        <x:f>F18</x:f>
        <x:v>312.8899999999999</x:v>
      </x:c>
      <x:c r="G102" s="5" t="n">
        <x:f>G18</x:f>
        <x:v>469.37000000000035</x:v>
      </x:c>
      <x:c r="H102" s="5"/>
      <x:c r="I102" s="5"/>
      <x:c r="J102" s="5"/>
      <x:c r="K102" s="5"/>
      <x:c r="L102" s="5"/>
      <x:c r="M102" s="3"/>
      <x:c r="N102" s="3"/>
    </x:row>
    <x:row r="103" ht="21" customHeight="1">
      <x:c r="A103" s="6" t="str">
        <x:v>Other income</x:v>
      </x:c>
      <x:c r="B103" s="3"/>
      <x:c r="C103" s="5"/>
      <x:c r="D103" s="5"/>
      <x:c r="E103" s="5"/>
      <x:c r="F103" s="5" t="n">
        <x:f>F9</x:f>
        <x:v>16.64</x:v>
      </x:c>
      <x:c r="G103" s="5" t="n">
        <x:f>G9</x:f>
        <x:v>11.57</x:v>
      </x:c>
      <x:c r="H103" s="5"/>
      <x:c r="I103" s="5"/>
      <x:c r="J103" s="5"/>
      <x:c r="K103" s="5"/>
      <x:c r="L103" s="5"/>
      <x:c r="M103" s="3"/>
      <x:c r="N103" s="3"/>
    </x:row>
    <x:row r="104" ht="21" customHeight="1">
      <x:c r="A104" s="6" t="str">
        <x:v>Pre-tax other comprehensive income</x:v>
      </x:c>
      <x:c r="B104" s="3"/>
      <x:c r="C104" s="5"/>
      <x:c r="D104" s="5"/>
      <x:c r="E104" s="5"/>
      <x:c r="F104" s="7" t="n">
        <x:v>4.58</x:v>
      </x:c>
      <x:c r="G104" s="7" t="n">
        <x:v>11.97</x:v>
      </x:c>
      <x:c r="H104" s="5"/>
      <x:c r="I104" s="5"/>
      <x:c r="J104" s="5"/>
      <x:c r="K104" s="5"/>
      <x:c r="L104" s="5"/>
      <x:c r="M104" s="3"/>
      <x:c r="N104" s="3"/>
    </x:row>
    <x:row r="105" ht="21" customHeight="1">
      <x:c r="A105" s="6" t="str">
        <x:v>Operating EBITDA + other income + OCI</x:v>
      </x:c>
      <x:c r="B105" s="3"/>
      <x:c r="C105" s="5"/>
      <x:c r="D105" s="5"/>
      <x:c r="E105" s="5"/>
      <x:c r="F105" s="5" t="n">
        <x:f>SUM(F102:F104)</x:f>
        <x:v>334.10999999999984</x:v>
      </x:c>
      <x:c r="G105" s="5" t="n">
        <x:f>SUM(G102:G104)</x:f>
        <x:v>492.91000000000037</x:v>
      </x:c>
      <x:c r="H105" s="5"/>
      <x:c r="I105" s="5"/>
      <x:c r="J105" s="5"/>
      <x:c r="K105" s="5"/>
      <x:c r="L105" s="5"/>
      <x:c r="M105" s="3"/>
      <x:c r="N105" s="3"/>
    </x:row>
    <x:row r="106" ht="21" customHeight="1">
      <x:c r="A106" s="6" t="str">
        <x:v>Difference to management-reported EBITDA</x:v>
      </x:c>
      <x:c r="B106" s="3"/>
      <x:c r="C106" s="5"/>
      <x:c r="D106" s="5"/>
      <x:c r="E106" s="5"/>
      <x:c r="F106" s="5" t="n">
        <x:f>ROUND(F105-F101,8)</x:f>
        <x:v>0</x:v>
      </x:c>
      <x:c r="G106" s="5" t="n">
        <x:f>ROUND(G105-G101,8)</x:f>
        <x:v>0</x:v>
      </x:c>
      <x:c r="H106" s="5"/>
      <x:c r="I106" s="5"/>
      <x:c r="J106" s="5"/>
      <x:c r="K106" s="5"/>
      <x:c r="L106" s="5"/>
      <x:c r="M106" s="3"/>
      <x:c r="N106" s="3"/>
    </x:row>
    <x:row r="107" ht="21" customHeight="1">
      <x:c r="A107" s="3"/>
      <x:c r="B107" s="3"/>
      <x:c r="C107" s="5"/>
      <x:c r="D107" s="5"/>
      <x:c r="E107" s="5"/>
      <x:c r="F107" s="5"/>
      <x:c r="G107" s="5"/>
      <x:c r="H107" s="5"/>
      <x:c r="I107" s="5"/>
      <x:c r="J107" s="5"/>
      <x:c r="K107" s="5"/>
      <x:c r="L107" s="5"/>
      <x:c r="M107" s="3"/>
      <x:c r="N107" s="3"/>
    </x:row>
    <x:row r="108" ht="21" customHeight="1">
      <x:c r="A108" s="6" t="str">
        <x:v>Management EBITDA margin</x:v>
      </x:c>
      <x:c r="B108" s="3"/>
      <x:c r="C108" s="5"/>
      <x:c r="D108" s="5"/>
      <x:c r="E108" s="5"/>
      <x:c r="F108" s="5" t="n">
        <x:f>F101/(F8-F109)</x:f>
        <x:v>0.127478623836759</x:v>
      </x:c>
      <x:c r="G108" s="5" t="n">
        <x:f>G101/(G8-G109)</x:f>
        <x:v>0.12435132510059664</x:v>
      </x:c>
      <x:c r="H108" s="5"/>
      <x:c r="I108" s="5"/>
      <x:c r="J108" s="5"/>
      <x:c r="K108" s="5"/>
      <x:c r="L108" s="5"/>
      <x:c r="M108" s="3"/>
      <x:c r="N108" s="3"/>
    </x:row>
    <x:row r="109" ht="21" customHeight="1">
      <x:c r="A109" s="6" t="str">
        <x:v>Other operating revenue</x:v>
      </x:c>
      <x:c r="B109" s="3"/>
      <x:c r="C109" s="5"/>
      <x:c r="D109" s="5"/>
      <x:c r="E109" s="5"/>
      <x:c r="F109" s="7" t="n">
        <x:v>71.01</x:v>
      </x:c>
      <x:c r="G109" s="7" t="n">
        <x:v>76.95</x:v>
      </x:c>
      <x:c r="H109" s="5"/>
      <x:c r="I109" s="5"/>
      <x:c r="J109" s="5"/>
      <x:c r="K109" s="5"/>
      <x:c r="L109" s="5"/>
      <x:c r="M109" s="3"/>
      <x:c r="N109" s="3"/>
    </x:row>
    <x:row r="110" ht="21" customHeight="1">
      <x:c r="A110" s="6" t="str">
        <x:v>Interest income</x:v>
      </x:c>
      <x:c r="B110" s="3"/>
      <x:c r="C110" s="5"/>
      <x:c r="D110" s="5"/>
      <x:c r="E110" s="5"/>
      <x:c r="F110" s="7" t="n">
        <x:v>3.44</x:v>
      </x:c>
      <x:c r="G110" s="7" t="n">
        <x:v>3.32</x:v>
      </x:c>
      <x:c r="H110" s="5"/>
      <x:c r="I110" s="5"/>
      <x:c r="J110" s="5"/>
      <x:c r="K110" s="5"/>
      <x:c r="L110" s="5"/>
      <x:c r="M110" s="3"/>
      <x:c r="N110" s="3"/>
    </x:row>
    <x:row r="111" ht="21" customHeight="1">
      <x:c r="A111" s="3"/>
      <x:c r="B111" s="3"/>
      <x:c r="C111" s="5"/>
      <x:c r="D111" s="5"/>
      <x:c r="E111" s="5"/>
      <x:c r="F111" s="5"/>
      <x:c r="G111" s="5"/>
      <x:c r="H111" s="5"/>
      <x:c r="I111" s="5"/>
      <x:c r="J111" s="5"/>
      <x:c r="K111" s="5"/>
      <x:c r="L111" s="5"/>
      <x:c r="M111" s="3"/>
      <x:c r="N111" s="3"/>
    </x:row>
    <x:row r="112" ht="21" customHeight="1">
      <x:c r="A112" s="6" t="str">
        <x:v>The reported figure equals operating EBITDA plus other income and pre-tax OCI in both years. This is an arithmetic bridge, not a stated management definition.</x:v>
      </x:c>
      <x:c r="B112" s="3"/>
      <x:c r="C112" s="5"/>
      <x:c r="D112" s="5"/>
      <x:c r="E112" s="5"/>
      <x:c r="F112" s="5"/>
      <x:c r="G112" s="5"/>
      <x:c r="H112" s="5"/>
      <x:c r="I112" s="5"/>
      <x:c r="J112" s="5"/>
      <x:c r="K112" s="5"/>
      <x:c r="L112" s="5"/>
      <x:c r="M112" s="3"/>
      <x:c r="N112" s="3"/>
    </x:row>
    <x:row r="113" ht="21" customHeight="1">
      <x:c r="A113" s="3"/>
      <x:c r="B113" s="3"/>
      <x:c r="C113" s="5"/>
      <x:c r="D113" s="5"/>
      <x:c r="E113" s="5"/>
      <x:c r="F113" s="5"/>
      <x:c r="G113" s="5"/>
      <x:c r="H113" s="5"/>
      <x:c r="I113" s="5"/>
      <x:c r="J113" s="5"/>
      <x:c r="K113" s="5"/>
      <x:c r="L113" s="5"/>
      <x:c r="M113" s="3"/>
      <x:c r="N113" s="3"/>
    </x:row>
    <x:row r="114" ht="21" customHeight="1">
      <x:c r="A114" s="6" t="str">
        <x:v>Operating EBITDA excludes other income and OCI. Its margin includes other operating revenue in the denominator; management’s margin excludes that revenue.</x:v>
      </x:c>
      <x:c r="B114" s="3"/>
      <x:c r="C114" s="5"/>
      <x:c r="D114" s="5"/>
      <x:c r="E114" s="5"/>
      <x:c r="F114" s="5"/>
      <x:c r="G114" s="5"/>
      <x:c r="H114" s="5"/>
      <x:c r="I114" s="5"/>
      <x:c r="J114" s="5"/>
      <x:c r="K114" s="5"/>
      <x:c r="L114" s="5"/>
      <x:c r="M114" s="3"/>
      <x:c r="N114" s="3"/>
    </x:row>
    <x:row r="115" ht="21" customHeight="1">
      <x:c r="A115" s="3"/>
      <x:c r="B115" s="3"/>
      <x:c r="C115" s="5"/>
      <x:c r="D115" s="5"/>
      <x:c r="E115" s="5"/>
      <x:c r="F115" s="5"/>
      <x:c r="G115" s="5"/>
      <x:c r="H115" s="5"/>
      <x:c r="I115" s="5"/>
      <x:c r="J115" s="5"/>
      <x:c r="K115" s="5"/>
      <x:c r="L115" s="5"/>
      <x:c r="M115" s="3"/>
      <x:c r="N115" s="3"/>
    </x:row>
    <x:row r="116" ht="21" customHeight="1">
      <x:c r="A116" s="6" t="str">
        <x:v>Sources: Pricol Annual Report FY2026; Investor Presentation May2026. OCI is not operating profit and is not forecast.</x:v>
      </x:c>
      <x:c r="B116" s="3"/>
      <x:c r="C116" s="5"/>
      <x:c r="D116" s="5"/>
      <x:c r="E116" s="5"/>
      <x:c r="F116" s="5"/>
      <x:c r="G116" s="5"/>
      <x:c r="H116" s="5"/>
      <x:c r="I116" s="5"/>
      <x:c r="J116" s="5"/>
      <x:c r="K116" s="5"/>
      <x:c r="L116" s="5"/>
      <x:c r="M116" s="3"/>
      <x:c r="N116" s="3"/>
    </x:row>
    <x:row r="117" ht="21" customHeight="1">
      <x:c r="A117" s="3"/>
      <x:c r="B117" s="3"/>
      <x:c r="C117" s="5"/>
      <x:c r="D117" s="5"/>
      <x:c r="E117" s="5"/>
      <x:c r="F117" s="5"/>
      <x:c r="G117" s="5"/>
      <x:c r="H117" s="5"/>
      <x:c r="I117" s="5"/>
      <x:c r="J117" s="5"/>
      <x:c r="K117" s="5"/>
      <x:c r="L117" s="5"/>
      <x:c r="M117" s="3"/>
      <x:c r="N117" s="3"/>
    </x:row>
    <x:row r="118" ht="21" customHeight="1">
      <x:c r="A118" s="3"/>
      <x:c r="B118" s="3"/>
      <x:c r="C118" s="5"/>
      <x:c r="D118" s="5"/>
      <x:c r="E118" s="5"/>
      <x:c r="F118" s="5"/>
      <x:c r="G118" s="5"/>
      <x:c r="H118" s="5"/>
      <x:c r="I118" s="5"/>
      <x:c r="J118" s="5"/>
      <x:c r="K118" s="5"/>
      <x:c r="L118" s="5"/>
      <x:c r="M118" s="3"/>
      <x:c r="N118" s="3"/>
    </x:row>
    <x:row r="119" ht="21" customHeight="1">
      <x:c r="A119" s="3"/>
      <x:c r="B119" s="3"/>
      <x:c r="C119" s="5"/>
      <x:c r="D119" s="5"/>
      <x:c r="E119" s="5"/>
      <x:c r="F119" s="5"/>
      <x:c r="G119" s="5"/>
      <x:c r="H119" s="5"/>
      <x:c r="I119" s="5"/>
      <x:c r="J119" s="5"/>
      <x:c r="K119" s="5"/>
      <x:c r="L119" s="5"/>
      <x:c r="M119" s="3"/>
      <x:c r="N119" s="3"/>
    </x:row>
    <x:row r="120" ht="21" customHeight="1">
      <x:c r="A120" s="6" t="str">
        <x:v>Cash-flow and accounting disclosure inputs</x:v>
      </x:c>
      <x:c r="B120" s="3"/>
      <x:c r="C120" s="5"/>
      <x:c r="D120" s="5"/>
      <x:c r="E120" s="5"/>
      <x:c r="F120" s="5"/>
      <x:c r="G120" s="5"/>
      <x:c r="H120" s="5"/>
      <x:c r="I120" s="5"/>
      <x:c r="J120" s="5"/>
      <x:c r="K120" s="5"/>
      <x:c r="L120" s="5"/>
      <x:c r="M120" s="3"/>
      <x:c r="N120" s="3"/>
    </x:row>
    <x:row r="121" ht="21" customHeight="1">
      <x:c r="A121" s="6" t="str">
        <x:v>Total adjustments to PBT</x:v>
      </x:c>
      <x:c r="B121" s="3"/>
      <x:c r="C121" s="7" t="n">
        <x:v>102.9257</x:v>
      </x:c>
      <x:c r="D121" s="7" t="n">
        <x:v>85.9249</x:v>
      </x:c>
      <x:c r="E121" s="7" t="n">
        <x:v>102.7302</x:v>
      </x:c>
      <x:c r="F121" s="7" t="n">
        <x:v>95.72</x:v>
      </x:c>
      <x:c r="G121" s="7" t="n">
        <x:v>160.81</x:v>
      </x:c>
      <x:c r="H121" s="5"/>
      <x:c r="I121" s="5"/>
      <x:c r="J121" s="5"/>
      <x:c r="K121" s="5"/>
      <x:c r="L121" s="5"/>
      <x:c r="M121" s="3"/>
      <x:c r="N121" s="3"/>
    </x:row>
    <x:row r="122" ht="21" customHeight="1">
      <x:c r="A122" s="6" t="str">
        <x:v>Receivables / other receivables cash movement</x:v>
      </x:c>
      <x:c r="B122" s="3"/>
      <x:c r="C122" s="7" t="n">
        <x:v>-37.8655</x:v>
      </x:c>
      <x:c r="D122" s="7" t="n">
        <x:v>-27.6602</x:v>
      </x:c>
      <x:c r="E122" s="7" t="n">
        <x:v>9.599</x:v>
      </x:c>
      <x:c r="F122" s="7" t="n">
        <x:v>-92.66</x:v>
      </x:c>
      <x:c r="G122" s="7" t="n">
        <x:v>-119.92</x:v>
      </x:c>
      <x:c r="H122" s="5"/>
      <x:c r="I122" s="5"/>
      <x:c r="J122" s="5"/>
      <x:c r="K122" s="5"/>
      <x:c r="L122" s="5"/>
      <x:c r="M122" s="3"/>
      <x:c r="N122" s="3"/>
    </x:row>
    <x:row r="123" ht="21" customHeight="1">
      <x:c r="A123" s="6" t="str">
        <x:v>Inventory cash movement</x:v>
      </x:c>
      <x:c r="B123" s="3"/>
      <x:c r="C123" s="7" t="n">
        <x:v>6.6855</x:v>
      </x:c>
      <x:c r="D123" s="7" t="n">
        <x:v>-35.2065</x:v>
      </x:c>
      <x:c r="E123" s="7" t="n">
        <x:v>-48.5858</x:v>
      </x:c>
      <x:c r="F123" s="7" t="n">
        <x:v>-4.23</x:v>
      </x:c>
      <x:c r="G123" s="7" t="n">
        <x:v>-176.7</x:v>
      </x:c>
      <x:c r="H123" s="5"/>
      <x:c r="I123" s="5"/>
      <x:c r="J123" s="5"/>
      <x:c r="K123" s="5"/>
      <x:c r="L123" s="5"/>
      <x:c r="M123" s="3"/>
      <x:c r="N123" s="3"/>
    </x:row>
    <x:row r="124" ht="21" customHeight="1">
      <x:c r="A124" s="6" t="str">
        <x:v>Payables / other payables cash movement</x:v>
      </x:c>
      <x:c r="B124" s="3"/>
      <x:c r="C124" s="7" t="n">
        <x:v>43.3688</x:v>
      </x:c>
      <x:c r="D124" s="7" t="n">
        <x:v>29.9053</x:v>
      </x:c>
      <x:c r="E124" s="7" t="n">
        <x:v>43.2467</x:v>
      </x:c>
      <x:c r="F124" s="7" t="n">
        <x:v>1.92</x:v>
      </x:c>
      <x:c r="G124" s="7" t="n">
        <x:v>172.02</x:v>
      </x:c>
      <x:c r="H124" s="5"/>
      <x:c r="I124" s="5"/>
      <x:c r="J124" s="5"/>
      <x:c r="K124" s="5"/>
      <x:c r="L124" s="5"/>
      <x:c r="M124" s="3"/>
      <x:c r="N124" s="3"/>
    </x:row>
    <x:row r="125" ht="21" customHeight="1">
      <x:c r="A125" s="6" t="str">
        <x:v>Cash taxes paid</x:v>
      </x:c>
      <x:c r="B125" s="3"/>
      <x:c r="C125" s="7" t="n">
        <x:v>12.7479</x:v>
      </x:c>
      <x:c r="D125" s="7" t="n">
        <x:v>36.7901</x:v>
      </x:c>
      <x:c r="E125" s="7" t="n">
        <x:v>38.1174</x:v>
      </x:c>
      <x:c r="F125" s="7" t="n">
        <x:v>3.93</x:v>
      </x:c>
      <x:c r="G125" s="7" t="n">
        <x:v>85.89</x:v>
      </x:c>
      <x:c r="H125" s="5"/>
      <x:c r="I125" s="5"/>
      <x:c r="J125" s="5"/>
      <x:c r="K125" s="5"/>
      <x:c r="L125" s="5"/>
      <x:c r="M125" s="3"/>
      <x:c r="N125" s="3"/>
    </x:row>
    <x:row r="126" ht="21" customHeight="1">
      <x:c r="A126" s="6" t="str">
        <x:v>Interest income in operating cash reconciliation</x:v>
      </x:c>
      <x:c r="B126" s="3"/>
      <x:c r="C126" s="7" t="n">
        <x:v>1.107</x:v>
      </x:c>
      <x:c r="D126" s="7" t="n">
        <x:v>0.9685</x:v>
      </x:c>
      <x:c r="E126" s="7" t="n">
        <x:v>2.4834</x:v>
      </x:c>
      <x:c r="F126" s="7" t="n">
        <x:v>3.44</x:v>
      </x:c>
      <x:c r="G126" s="7" t="n">
        <x:v>3.32</x:v>
      </x:c>
      <x:c r="H126" s="5"/>
      <x:c r="I126" s="5"/>
      <x:c r="J126" s="5"/>
      <x:c r="K126" s="5"/>
      <x:c r="L126" s="5"/>
      <x:c r="M126" s="3"/>
      <x:c r="N126" s="3"/>
    </x:row>
    <x:row r="127" ht="21" customHeight="1">
      <x:c r="A127" s="6" t="str">
        <x:v>Finance costs paid (financing cash flow)</x:v>
      </x:c>
      <x:c r="B127" s="3"/>
      <x:c r="C127" s="7" t="n">
        <x:v>25.5656</x:v>
      </x:c>
      <x:c r="D127" s="7" t="n">
        <x:v>18.0881</x:v>
      </x:c>
      <x:c r="E127" s="7" t="n">
        <x:v>18.2338</x:v>
      </x:c>
      <x:c r="F127" s="7" t="n">
        <x:v>13.26</x:v>
      </x:c>
      <x:c r="G127" s="7" t="n">
        <x:v>30.02</x:v>
      </x:c>
      <x:c r="H127" s="5"/>
      <x:c r="I127" s="5"/>
      <x:c r="J127" s="5"/>
      <x:c r="K127" s="5"/>
      <x:c r="L127" s="5"/>
      <x:c r="M127" s="3"/>
      <x:c r="N127" s="3"/>
    </x:row>
    <x:row r="128" ht="21" customHeight="1">
      <x:c r="A128" s="6" t="str">
        <x:v>Cash proceeds / (repayment) of borrowings</x:v>
      </x:c>
      <x:c r="B128" s="3"/>
      <x:c r="C128" s="7" t="n">
        <x:v>-122.3915</x:v>
      </x:c>
      <x:c r="D128" s="7" t="n">
        <x:v>-38.9272</x:v>
      </x:c>
      <x:c r="E128" s="7" t="n">
        <x:v>-42.8461</x:v>
      </x:c>
      <x:c r="F128" s="7" t="n">
        <x:v>163.95</x:v>
      </x:c>
      <x:c r="G128" s="7" t="n">
        <x:v>94.28</x:v>
      </x:c>
      <x:c r="H128" s="5"/>
      <x:c r="I128" s="5"/>
      <x:c r="J128" s="5"/>
      <x:c r="K128" s="5"/>
      <x:c r="L128" s="5"/>
      <x:c r="M128" s="3"/>
      <x:c r="N128" s="3"/>
    </x:row>
    <x:row r="129" ht="21" customHeight="1">
      <x:c r="A129" s="6" t="str">
        <x:v>Lease principal paid</x:v>
      </x:c>
      <x:c r="B129" s="3"/>
      <x:c r="C129" s="7" t="n">
        <x:v>5.6352</x:v>
      </x:c>
      <x:c r="D129" s="7" t="n">
        <x:v>6.8235</x:v>
      </x:c>
      <x:c r="E129" s="7" t="n">
        <x:v>7.8264</x:v>
      </x:c>
      <x:c r="F129" s="7" t="n">
        <x:v>8.59</x:v>
      </x:c>
      <x:c r="G129" s="7" t="n">
        <x:v>6.4</x:v>
      </x:c>
      <x:c r="H129" s="5"/>
      <x:c r="I129" s="5"/>
      <x:c r="J129" s="5"/>
      <x:c r="K129" s="5"/>
      <x:c r="L129" s="5"/>
      <x:c r="M129" s="3"/>
      <x:c r="N129" s="3"/>
    </x:row>
    <x:row r="130" ht="21" customHeight="1">
      <x:c r="A130" s="6" t="str">
        <x:v>Non-cash lease liability additions</x:v>
      </x:c>
      <x:c r="B130" s="3"/>
      <x:c r="C130" s="7" t="n">
        <x:v>0.3849</x:v>
      </x:c>
      <x:c r="D130" s="7" t="n">
        <x:v>2.5942</x:v>
      </x:c>
      <x:c r="E130" s="7" t="n">
        <x:v>1.1036</x:v>
      </x:c>
      <x:c r="F130" s="7" t="n">
        <x:v>4.4</x:v>
      </x:c>
      <x:c r="G130" s="7" t="n">
        <x:v>12.43</x:v>
      </x:c>
      <x:c r="H130" s="5"/>
      <x:c r="I130" s="5"/>
      <x:c r="J130" s="5"/>
      <x:c r="K130" s="5"/>
      <x:c r="L130" s="5"/>
      <x:c r="M130" s="3"/>
      <x:c r="N130" s="3"/>
    </x:row>
    <x:row r="131" ht="21" customHeight="1">
      <x:c r="A131" s="6" t="str">
        <x:v>Non-recourse factored receivables outstanding</x:v>
      </x:c>
      <x:c r="B131" s="3"/>
      <x:c r="C131" s="5"/>
      <x:c r="D131" s="5"/>
      <x:c r="E131" s="5"/>
      <x:c r="F131" s="7" t="n">
        <x:v>45.85</x:v>
      </x:c>
      <x:c r="G131" s="7" t="n">
        <x:v>106.17</x:v>
      </x:c>
      <x:c r="H131" s="5"/>
      <x:c r="I131" s="5"/>
      <x:c r="J131" s="5"/>
      <x:c r="K131" s="5"/>
      <x:c r="L131" s="5"/>
      <x:c r="M131" s="3"/>
      <x:c r="N131" s="3"/>
    </x:row>
    <x:row r="132" ht="21" customHeight="1">
      <x:c r="A132" s="6" t="str">
        <x:v>Inventory write-down expense</x:v>
      </x:c>
      <x:c r="B132" s="3"/>
      <x:c r="C132" s="5"/>
      <x:c r="D132" s="5"/>
      <x:c r="E132" s="5"/>
      <x:c r="F132" s="7" t="n">
        <x:v>0.3</x:v>
      </x:c>
      <x:c r="G132" s="7" t="n">
        <x:v>0.65</x:v>
      </x:c>
      <x:c r="H132" s="5"/>
      <x:c r="I132" s="5"/>
      <x:c r="J132" s="5"/>
      <x:c r="K132" s="5"/>
      <x:c r="L132" s="5"/>
      <x:c r="M132" s="3"/>
      <x:c r="N132" s="3"/>
    </x:row>
    <x:row r="133" ht="21" customHeight="1">
      <x:c r="A133" s="6" t="str">
        <x:v>Supplier-finance debt (already in borrowings)</x:v>
      </x:c>
      <x:c r="B133" s="3"/>
      <x:c r="C133" s="5"/>
      <x:c r="D133" s="5"/>
      <x:c r="E133" s="5"/>
      <x:c r="F133" s="5"/>
      <x:c r="G133" s="7" t="n">
        <x:v>124.36</x:v>
      </x:c>
      <x:c r="H133" s="5"/>
      <x:c r="I133" s="5"/>
      <x:c r="J133" s="5"/>
      <x:c r="K133" s="5"/>
      <x:c r="L133" s="5"/>
      <x:c r="M133" s="3"/>
      <x:c r="N133" s="3"/>
    </x:row>
    <x:row r="134" ht="21" customHeight="1">
      <x:c r="A134" s="6" t="str">
        <x:v>Trade receivable loss allowance</x:v>
      </x:c>
      <x:c r="B134" s="3"/>
      <x:c r="C134" s="5"/>
      <x:c r="D134" s="5"/>
      <x:c r="E134" s="5"/>
      <x:c r="F134" s="7" t="n">
        <x:v>3.68</x:v>
      </x:c>
      <x:c r="G134" s="7" t="n">
        <x:v>4.6</x:v>
      </x:c>
      <x:c r="H134" s="5"/>
      <x:c r="I134" s="5"/>
      <x:c r="J134" s="5"/>
      <x:c r="K134" s="5"/>
      <x:c r="L134" s="5"/>
      <x:c r="M134" s="3"/>
      <x:c r="N134" s="3"/>
    </x:row>
    <x:row r="135" ht="21" customHeight="1">
      <x:c r="A135" s="6" t="str">
        <x:v>Reported basic EPS (INR)</x:v>
      </x:c>
      <x:c r="B135" s="3"/>
      <x:c r="C135" s="7" t="n">
        <x:v>4.19</x:v>
      </x:c>
      <x:c r="D135" s="7" t="n">
        <x:v>10.23</x:v>
      </x:c>
      <x:c r="E135" s="7" t="n">
        <x:v>11.54</x:v>
      </x:c>
      <x:c r="F135" s="7" t="n">
        <x:v>13.7</x:v>
      </x:c>
      <x:c r="G135" s="7" t="n">
        <x:v>20.57</x:v>
      </x:c>
      <x:c r="H135" s="5"/>
      <x:c r="I135" s="5"/>
      <x:c r="J135" s="5"/>
      <x:c r="K135" s="5"/>
      <x:c r="L135" s="5"/>
      <x:c r="M135" s="3"/>
      <x:c r="N135" s="3"/>
    </x:row>
    <x:row r="136" ht="21" customHeight="1">
      <x:c r="A136" s="6" t="str">
        <x:v>Reported diluted EPS (INR)</x:v>
      </x:c>
      <x:c r="B136" s="3"/>
      <x:c r="C136" s="7" t="n">
        <x:v>4.19</x:v>
      </x:c>
      <x:c r="D136" s="7" t="n">
        <x:v>10.23</x:v>
      </x:c>
      <x:c r="E136" s="7" t="n">
        <x:v>11.54</x:v>
      </x:c>
      <x:c r="F136" s="7" t="n">
        <x:v>13.7</x:v>
      </x:c>
      <x:c r="G136" s="7" t="n">
        <x:v>20.57</x:v>
      </x:c>
      <x:c r="H136" s="5"/>
      <x:c r="I136" s="5"/>
      <x:c r="J136" s="5"/>
      <x:c r="K136" s="5"/>
      <x:c r="L136" s="5"/>
      <x:c r="M136" s="3"/>
      <x:c r="N136" s="3"/>
    </x:row>
    <x:row r="137" ht="21" customHeight="1">
      <x:c r="A137" s="3"/>
      <x:c r="B137" s="3"/>
      <x:c r="C137" s="5"/>
      <x:c r="D137" s="5"/>
      <x:c r="E137" s="5"/>
      <x:c r="F137" s="5"/>
      <x:c r="G137" s="5"/>
      <x:c r="H137" s="5"/>
      <x:c r="I137" s="5"/>
      <x:c r="J137" s="5"/>
      <x:c r="K137" s="5"/>
      <x:c r="L137" s="5"/>
      <x:c r="M137" s="3"/>
      <x:c r="N137" s="3"/>
    </x:row>
    <x:row r="138" ht="21" customHeight="1">
      <x:c r="A138" s="6" t="str">
        <x:v>Identified unusual operating expense</x:v>
      </x:c>
      <x:c r="B138" s="3"/>
      <x:c r="C138" s="7" t="n">
        <x:v>0</x:v>
      </x:c>
      <x:c r="D138" s="7" t="n">
        <x:v>0</x:v>
      </x:c>
      <x:c r="E138" s="7" t="n">
        <x:v>6.4174</x:v>
      </x:c>
      <x:c r="F138" s="7" t="n">
        <x:v>3.89</x:v>
      </x:c>
      <x:c r="G138" s="7" t="n">
        <x:v>0</x:v>
      </x:c>
      <x:c r="H138" s="5"/>
      <x:c r="I138" s="5"/>
      <x:c r="J138" s="5"/>
      <x:c r="K138" s="5"/>
      <x:c r="L138" s="5"/>
      <x:c r="M138" s="3"/>
      <x:c r="N138" s="3"/>
    </x:row>
    <x:row r="139" ht="21" customHeight="1">
      <x:c r="A139" s="6" t="str">
        <x:v>Normalized tax assumption / parent statutory rate</x:v>
      </x:c>
      <x:c r="B139" s="3"/>
      <x:c r="C139" s="7" t="n">
        <x:v>0.25168</x:v>
      </x:c>
      <x:c r="D139" s="7" t="n">
        <x:v>0.25168</x:v>
      </x:c>
      <x:c r="E139" s="7" t="n">
        <x:v>0.25168</x:v>
      </x:c>
      <x:c r="F139" s="7" t="n">
        <x:v>0.25168</x:v>
      </x:c>
      <x:c r="G139" s="7" t="n">
        <x:v>0.25168</x:v>
      </x:c>
      <x:c r="H139" s="5"/>
      <x:c r="I139" s="5"/>
      <x:c r="J139" s="5"/>
      <x:c r="K139" s="5"/>
      <x:c r="L139" s="5"/>
      <x:c r="M139" s="3"/>
      <x:c r="N139" s="3"/>
    </x:row>
    <x:row r="140" ht="21" customHeight="1">
      <x:c r="A140" s="6" t="str">
        <x:v>Supplier-finance net cash inflow</x:v>
      </x:c>
      <x:c r="B140" s="3"/>
      <x:c r="C140" s="5"/>
      <x:c r="D140" s="5"/>
      <x:c r="E140" s="5"/>
      <x:c r="F140" s="7" t="n">
        <x:v>41.11</x:v>
      </x:c>
      <x:c r="G140" s="7" t="n">
        <x:v>49.66</x:v>
      </x:c>
      <x:c r="H140" s="5"/>
      <x:c r="I140" s="5"/>
      <x:c r="J140" s="5"/>
      <x:c r="K140" s="5"/>
      <x:c r="L140" s="5"/>
      <x:c r="M140" s="3"/>
      <x:c r="N140" s="3"/>
    </x:row>
    <x:row r="141" ht="21" customHeight="1">
      <x:c r="A141" s="6" t="str">
        <x:v>FY2025 CFO as originally published</x:v>
      </x:c>
      <x:c r="B141" s="3"/>
      <x:c r="C141" s="5"/>
      <x:c r="D141" s="5"/>
      <x:c r="E141" s="5"/>
      <x:c r="F141" s="7" t="n">
        <x:v>309.2911</x:v>
      </x:c>
      <x:c r="G141" s="5"/>
      <x:c r="H141" s="5"/>
      <x:c r="I141" s="5"/>
      <x:c r="J141" s="5"/>
      <x:c r="K141" s="5"/>
      <x:c r="L141" s="5"/>
      <x:c r="M141" s="3"/>
      <x:c r="N141" s="3"/>
    </x:row>
    <x:row r="142" ht="21" customHeight="1">
      <x:c r="A142" s="6" t="str">
        <x:v>FY2025 cash taxes as originally published</x:v>
      </x:c>
      <x:c r="B142" s="3"/>
      <x:c r="C142" s="5"/>
      <x:c r="D142" s="5"/>
      <x:c r="E142" s="5"/>
      <x:c r="F142" s="7" t="n">
        <x:v>56.695</x:v>
      </x:c>
      <x:c r="G142" s="5"/>
      <x:c r="H142" s="5"/>
      <x:c r="I142" s="5"/>
      <x:c r="J142" s="5"/>
      <x:c r="K142" s="5"/>
      <x:c r="L142" s="5"/>
      <x:c r="M142" s="3"/>
      <x:c r="N142" s="3"/>
    </x:row>
    <x:row r="143" ht="21" customHeight="1">
      <x:c r="A143" s="6" t="str">
        <x:v>FY2025 payable cash movement originally published</x:v>
      </x:c>
      <x:c r="B143" s="3"/>
      <x:c r="C143" s="5"/>
      <x:c r="D143" s="5"/>
      <x:c r="E143" s="5"/>
      <x:c r="F143" s="7" t="n">
        <x:v>140.5403</x:v>
      </x:c>
      <x:c r="G143" s="5"/>
      <x:c r="H143" s="5"/>
      <x:c r="I143" s="5"/>
      <x:c r="J143" s="5"/>
      <x:c r="K143" s="5"/>
      <x:c r="L143" s="5"/>
      <x:c r="M143" s="3"/>
      <x:c r="N143" s="3"/>
    </x:row>
    <x:row r="144" ht="21" customHeight="1">
      <x:c r="A144" s="6" t="str">
        <x:v>FY2026 statutory tax before reconciling items</x:v>
      </x:c>
      <x:c r="B144" s="3"/>
      <x:c r="C144" s="5"/>
      <x:c r="D144" s="5"/>
      <x:c r="E144" s="5"/>
      <x:c r="F144" s="7" t="n">
        <x:v>57.03</x:v>
      </x:c>
      <x:c r="G144" s="7" t="n">
        <x:v>83.29</x:v>
      </x:c>
      <x:c r="H144" s="5"/>
      <x:c r="I144" s="5"/>
      <x:c r="J144" s="5"/>
      <x:c r="K144" s="5"/>
      <x:c r="L144" s="5"/>
      <x:c r="M144" s="3"/>
      <x:c r="N144" s="3"/>
    </x:row>
    <x:row r="145" ht="21" customHeight="1">
      <x:c r="A145" s="6" t="str">
        <x:v>R&amp;D tax concession</x:v>
      </x:c>
      <x:c r="B145" s="3"/>
      <x:c r="C145" s="5"/>
      <x:c r="D145" s="5"/>
      <x:c r="E145" s="5"/>
      <x:c r="F145" s="7" t="n">
        <x:v>-0.95</x:v>
      </x:c>
      <x:c r="G145" s="7" t="n">
        <x:v>-7.22</x:v>
      </x:c>
      <x:c r="H145" s="5"/>
      <x:c r="I145" s="5"/>
      <x:c r="J145" s="5"/>
      <x:c r="K145" s="5"/>
      <x:c r="L145" s="5"/>
      <x:c r="M145" s="3"/>
      <x:c r="N145" s="3"/>
    </x:row>
    <x:row r="146" ht="21" customHeight="1">
      <x:c r="A146" s="6" t="str">
        <x:v>Permanent tax differences</x:v>
      </x:c>
      <x:c r="B146" s="3"/>
      <x:c r="C146" s="5"/>
      <x:c r="D146" s="5"/>
      <x:c r="E146" s="5"/>
      <x:c r="F146" s="7" t="n">
        <x:v>0.64</x:v>
      </x:c>
      <x:c r="G146" s="7" t="n">
        <x:v>1.39</x:v>
      </x:c>
      <x:c r="H146" s="5"/>
      <x:c r="I146" s="5"/>
      <x:c r="J146" s="5"/>
      <x:c r="K146" s="5"/>
      <x:c r="L146" s="5"/>
      <x:c r="M146" s="3"/>
      <x:c r="N146" s="3"/>
    </x:row>
    <x:row r="147" ht="21" customHeight="1">
      <x:c r="A147" s="6" t="str">
        <x:v>Other tax differences</x:v>
      </x:c>
      <x:c r="B147" s="3"/>
      <x:c r="C147" s="5"/>
      <x:c r="D147" s="5"/>
      <x:c r="E147" s="5"/>
      <x:c r="F147" s="7" t="n">
        <x:v>2.94</x:v>
      </x:c>
      <x:c r="G147" s="7" t="n">
        <x:v>2.39</x:v>
      </x:c>
      <x:c r="H147" s="5"/>
      <x:c r="I147" s="5"/>
      <x:c r="J147" s="5"/>
      <x:c r="K147" s="5"/>
      <x:c r="L147" s="5"/>
      <x:c r="M147" s="3"/>
      <x:c r="N147" s="3"/>
    </x:row>
    <x:row r="148" ht="21" customHeight="1">
      <x:c r="A148" s="6" t="str">
        <x:v>FY2026 related-party trade receivables</x:v>
      </x:c>
      <x:c r="B148" s="3"/>
      <x:c r="C148" s="5"/>
      <x:c r="D148" s="5"/>
      <x:c r="E148" s="5"/>
      <x:c r="F148" s="7" t="n">
        <x:v>6.36</x:v>
      </x:c>
      <x:c r="G148" s="7" t="n">
        <x:v>4.34</x:v>
      </x:c>
      <x:c r="H148" s="5"/>
      <x:c r="I148" s="5"/>
      <x:c r="J148" s="5"/>
      <x:c r="K148" s="5"/>
      <x:c r="L148" s="5"/>
      <x:c r="M148" s="3"/>
      <x:c r="N148" s="3"/>
    </x:row>
    <x:row r="149" ht="21" customHeight="1">
      <x:c r="A149" s="6" t="str">
        <x:v>FY2026 related-party trade payables</x:v>
      </x:c>
      <x:c r="B149" s="3"/>
      <x:c r="C149" s="5"/>
      <x:c r="D149" s="5"/>
      <x:c r="E149" s="5"/>
      <x:c r="F149" s="7" t="n">
        <x:v>11.96</x:v>
      </x:c>
      <x:c r="G149" s="7" t="n">
        <x:v>16.28</x:v>
      </x:c>
      <x:c r="H149" s="5"/>
      <x:c r="I149" s="5"/>
      <x:c r="J149" s="5"/>
      <x:c r="K149" s="5"/>
      <x:c r="L149" s="5"/>
      <x:c r="M149" s="3"/>
      <x:c r="N149" s="3"/>
    </x:row>
    <x:row r="150" ht="21" customHeight="1">
      <x:c r="A150" s="6" t="str">
        <x:v>Prior-year deferred-tax reconciliation item</x:v>
      </x:c>
      <x:c r="B150" s="3"/>
      <x:c r="C150" s="5"/>
      <x:c r="D150" s="5"/>
      <x:c r="E150" s="5"/>
      <x:c r="F150" s="7" t="n">
        <x:v>0</x:v>
      </x:c>
      <x:c r="G150" s="7" t="n">
        <x:v>-2.05</x:v>
      </x:c>
      <x:c r="H150" s="5"/>
      <x:c r="I150" s="5"/>
      <x:c r="J150" s="5"/>
      <x:c r="K150" s="5"/>
      <x:c r="L150" s="5"/>
      <x:c r="M150" s="3"/>
      <x:c r="N150" s="3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34" hidden="0" customWidth="1"/>
    <x:col min="3" max="3" width="71" hidden="0" customWidth="1"/>
    <x:col min="4" max="4" width="91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3" hidden="0" customWidth="1"/>
    <x:col min="14" max="14" width="58" hidden="0" customWidth="1"/>
  </x:cols>
  <x:sheetData>
    <x:row r="1" ht="21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78"/>
    </x:row>
    <x:row r="2" ht="21" customHeight="1">
      <x:c r="A2" s="8" t="str">
        <x:v>Sources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78"/>
    </x:row>
    <x:row r="3" ht="21" customHeight="1">
      <x:c r="A3" s="6" t="str">
        <x:v>Consolidated. ₹ crore except per-share values.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78"/>
    </x:row>
    <x:row r="4" ht="21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78"/>
    </x:row>
    <x:row r="5" ht="25" customHeight="1">
      <x:c r="A5" s="11" t="str">
        <x:v>Period</x:v>
      </x:c>
      <x:c r="B5" s="11" t="str">
        <x:v>Document</x:v>
      </x:c>
      <x:c r="C5" s="11" t="str">
        <x:v>File name</x:v>
      </x:c>
      <x:c r="D5" s="11" t="str">
        <x:v>Source URL</x:v>
      </x:c>
      <x:c r="E5" s="3"/>
      <x:c r="F5" s="3"/>
      <x:c r="G5" s="3"/>
      <x:c r="H5" s="3"/>
      <x:c r="I5" s="3"/>
      <x:c r="J5" s="3"/>
      <x:c r="K5" s="3"/>
      <x:c r="L5" s="3"/>
      <x:c r="M5" s="3"/>
      <x:c r="N5" s="78"/>
    </x:row>
    <x:row r="6" ht="21" customHeight="1">
      <x:c r="A6" s="6" t="str">
        <x:v>FY2023</x:v>
      </x:c>
      <x:c r="B6" s="6" t="str">
        <x:v>Annual report</x:v>
      </x:c>
      <x:c r="C6" s="49" t="str">
        <x:v>Pricol_Annual_Report_FY2023.pdf</x:v>
      </x:c>
      <x:c r="D6" s="49" t="str">
        <x:v>https://pricol.com/wp-content/uploads/2023/07/Pricol-Annual-Report-FY23.pdf</x:v>
      </x:c>
      <x:c r="E6" s="5"/>
      <x:c r="F6" s="5"/>
      <x:c r="G6" s="5"/>
      <x:c r="H6" s="5"/>
      <x:c r="I6" s="5"/>
      <x:c r="J6" s="5"/>
      <x:c r="K6" s="5"/>
      <x:c r="L6" s="5"/>
      <x:c r="M6" s="3"/>
      <x:c r="N6" s="78"/>
    </x:row>
    <x:row r="7" ht="21" customHeight="1">
      <x:c r="A7" s="6" t="str">
        <x:v>FY2024</x:v>
      </x:c>
      <x:c r="B7" s="6" t="str">
        <x:v>Annual report</x:v>
      </x:c>
      <x:c r="C7" s="49" t="str">
        <x:v>Pricol_Annual_Report_FY2024.pdf</x:v>
      </x:c>
      <x:c r="D7" s="49" t="str">
        <x:v>https://pricol.com/wp-content/uploads/2024/07/Annual-Report-2024.pdf</x:v>
      </x:c>
      <x:c r="E7" s="5"/>
      <x:c r="F7" s="5"/>
      <x:c r="G7" s="5"/>
      <x:c r="H7" s="5"/>
      <x:c r="I7" s="5"/>
      <x:c r="J7" s="5"/>
      <x:c r="K7" s="5"/>
      <x:c r="L7" s="5"/>
      <x:c r="M7" s="3"/>
      <x:c r="N7" s="78"/>
    </x:row>
    <x:row r="8" ht="21" customHeight="1">
      <x:c r="A8" s="6" t="str">
        <x:v>FY2025</x:v>
      </x:c>
      <x:c r="B8" s="6" t="str">
        <x:v>Annual report</x:v>
      </x:c>
      <x:c r="C8" s="49" t="str">
        <x:v>Pricol_Annual_Report_FY2025.pdf</x:v>
      </x:c>
      <x:c r="D8" s="49" t="str">
        <x:v>https://pricol.com/wp-content/uploads/2025/07/Pricol-Annual-Report-2025.pdf</x:v>
      </x:c>
      <x:c r="E8" s="5"/>
      <x:c r="F8" s="5"/>
      <x:c r="G8" s="5"/>
      <x:c r="H8" s="5"/>
      <x:c r="I8" s="5"/>
      <x:c r="J8" s="5"/>
      <x:c r="K8" s="5"/>
      <x:c r="L8" s="5"/>
      <x:c r="M8" s="3"/>
      <x:c r="N8" s="78"/>
    </x:row>
    <x:row r="9" ht="21" customHeight="1">
      <x:c r="A9" s="6" t="str">
        <x:v>FY2026</x:v>
      </x:c>
      <x:c r="B9" s="6" t="str">
        <x:v>Annual report</x:v>
      </x:c>
      <x:c r="C9" s="49" t="str">
        <x:v>Pricol_Annual_Report_FY2026.pdf</x:v>
      </x:c>
      <x:c r="D9" s="49" t="str">
        <x:v>https://pricol.com/wp-content/uploads/2026/07/Pricol-Annual-Report-2026-1.pdf</x:v>
      </x:c>
      <x:c r="E9" s="5"/>
      <x:c r="F9" s="5"/>
      <x:c r="G9" s="5"/>
      <x:c r="H9" s="5"/>
      <x:c r="I9" s="5"/>
      <x:c r="J9" s="5"/>
      <x:c r="K9" s="5"/>
      <x:c r="L9" s="5"/>
      <x:c r="M9" s="3"/>
      <x:c r="N9" s="78"/>
    </x:row>
    <x:row r="10" ht="21" customHeight="1">
      <x:c r="A10" s="6" t="str">
        <x:v>May 2026</x:v>
      </x:c>
      <x:c r="B10" s="6" t="str">
        <x:v>Management commentary</x:v>
      </x:c>
      <x:c r="C10" s="49" t="str">
        <x:v>Pricol_Call_Transcript_May2026.pdf</x:v>
      </x:c>
      <x:c r="D10" s="49" t="str">
        <x:v>https://pricol.com/wp-content/uploads/2026/05/selettertranscript.pdf</x:v>
      </x:c>
      <x:c r="E10" s="5"/>
      <x:c r="F10" s="5"/>
      <x:c r="G10" s="5"/>
      <x:c r="H10" s="5"/>
      <x:c r="I10" s="5"/>
      <x:c r="J10" s="5"/>
      <x:c r="K10" s="5"/>
      <x:c r="L10" s="5"/>
      <x:c r="M10" s="3"/>
      <x:c r="N10" s="78"/>
    </x:row>
    <x:row r="11" ht="21" customHeight="1">
      <x:c r="A11" s="6" t="str">
        <x:v>August 2026</x:v>
      </x:c>
      <x:c r="B11" s="6" t="str">
        <x:v>Management commentary</x:v>
      </x:c>
      <x:c r="C11" s="49" t="str">
        <x:v>Pricol_Call_Transcript_Aug2026.pdf</x:v>
      </x:c>
      <x:c r="D11" s="49" t="str">
        <x:v>https://pricol.com/wp-content/uploads/2026/08/selettertranscriptsigned.pdf</x:v>
      </x:c>
      <x:c r="E11" s="5"/>
      <x:c r="F11" s="5"/>
      <x:c r="G11" s="5"/>
      <x:c r="H11" s="5"/>
      <x:c r="I11" s="5"/>
      <x:c r="J11" s="5"/>
      <x:c r="K11" s="5"/>
      <x:c r="L11" s="5"/>
      <x:c r="M11" s="3"/>
      <x:c r="N11" s="78"/>
    </x:row>
    <x:row r="12" ht="21" customHeight="1">
      <x:c r="A12" s="6" t="str">
        <x:v>FY2026</x:v>
      </x:c>
      <x:c r="B12" s="6" t="str">
        <x:v>Investor presentation</x:v>
      </x:c>
      <x:c r="C12" s="49" t="str">
        <x:v>Pricol_Investor_Presentation_May2026.pdf</x:v>
      </x:c>
      <x:c r="D12" s="49" t="str">
        <x:v>https://pricol.com/wp-content/uploads/2026/05/sedisclosureinvestorpresentation.pdf</x:v>
      </x:c>
      <x:c r="E12" s="5"/>
      <x:c r="F12" s="5"/>
      <x:c r="G12" s="5"/>
      <x:c r="H12" s="5"/>
      <x:c r="I12" s="5"/>
      <x:c r="J12" s="5"/>
      <x:c r="K12" s="5"/>
      <x:c r="L12" s="5"/>
      <x:c r="M12" s="3"/>
      <x:c r="N12" s="78"/>
    </x:row>
    <x:row r="13" ht="21" customHeight="1">
      <x:c r="A13" s="6" t="str">
        <x:v>FY2022–FY2026</x:v>
      </x:c>
      <x:c r="B13" s="6" t="str">
        <x:v>Screener secondary comparison</x:v>
      </x:c>
      <x:c r="C13" s="49" t="str">
        <x:v>Pricol Ltd.xlsx</x:v>
      </x:c>
      <x:c r="D13" s="49" t="str">
        <x:v>User-supplied export; quote date not provided</x:v>
      </x:c>
      <x:c r="E13" s="5"/>
      <x:c r="F13" s="5"/>
      <x:c r="G13" s="5"/>
      <x:c r="H13" s="5"/>
      <x:c r="I13" s="5"/>
      <x:c r="J13" s="5"/>
      <x:c r="K13" s="5"/>
      <x:c r="L13" s="5"/>
      <x:c r="M13" s="3"/>
      <x:c r="N13" s="78"/>
    </x:row>
    <x:row r="14" ht="21" customHeight="1">
      <x:c r="A14" s="6" t="str">
        <x:v>FY2026</x:v>
      </x:c>
      <x:c r="B14" s="6" t="str">
        <x:v>Industry context</x:v>
      </x:c>
      <x:c r="C14" s="49" t="str">
        <x:v>SIAM FY2026 public press release</x:v>
      </x:c>
      <x:c r="D14" s="49" t="str">
        <x:v>https://www.siam.in/pressrelease-details.aspx?pid=605</x:v>
      </x:c>
      <x:c r="E14" s="5"/>
      <x:c r="F14" s="5"/>
      <x:c r="G14" s="5"/>
      <x:c r="H14" s="5"/>
      <x:c r="I14" s="5"/>
      <x:c r="J14" s="5"/>
      <x:c r="K14" s="5"/>
      <x:c r="L14" s="5"/>
      <x:c r="M14" s="3"/>
      <x:c r="N14" s="78"/>
    </x:row>
    <x:row r="15" ht="21" customHeight="1">
      <x:c r="A15" s="3"/>
      <x:c r="B15" s="3"/>
      <x:c r="C15" s="48"/>
      <x:c r="D15" s="48"/>
      <x:c r="E15" s="5"/>
      <x:c r="F15" s="5"/>
      <x:c r="G15" s="5"/>
      <x:c r="H15" s="5"/>
      <x:c r="I15" s="5"/>
      <x:c r="J15" s="5"/>
      <x:c r="K15" s="5"/>
      <x:c r="L15" s="5"/>
      <x:c r="M15" s="3"/>
      <x:c r="N15" s="78"/>
    </x:row>
    <x:row r="16" ht="21" customHeight="1">
      <x:c r="A16" s="3"/>
      <x:c r="B16" s="3"/>
      <x:c r="C16" s="48"/>
      <x:c r="D16" s="48"/>
      <x:c r="E16" s="5"/>
      <x:c r="F16" s="5"/>
      <x:c r="G16" s="5"/>
      <x:c r="H16" s="5"/>
      <x:c r="I16" s="5"/>
      <x:c r="J16" s="5"/>
      <x:c r="K16" s="5"/>
      <x:c r="L16" s="5"/>
      <x:c r="M16" s="3"/>
      <x:c r="N16" s="78"/>
    </x:row>
    <x:row r="17" ht="21" customHeight="1">
      <x:c r="A17" s="6" t="str">
        <x:v>21-Sep-2026</x:v>
      </x:c>
      <x:c r="B17" s="6" t="str">
        <x:v>NSE share-price reference, 15:31 IST</x:v>
      </x:c>
      <x:c r="C17" s="49" t="str">
        <x:v>Business Standard — Pricol market page</x:v>
      </x:c>
      <x:c r="D17" s="49" t="str">
        <x:v>https://www.business-standard.com/markets/pricol-ltd-share-price-67610.html</x:v>
      </x:c>
      <x:c r="E17" s="5"/>
      <x:c r="F17" s="5"/>
      <x:c r="G17" s="5"/>
      <x:c r="H17" s="5"/>
      <x:c r="I17" s="5"/>
      <x:c r="J17" s="5"/>
      <x:c r="K17" s="5"/>
      <x:c r="L17" s="5"/>
      <x:c r="M17" s="3"/>
      <x:c r="N17" s="78"/>
    </x:row>
    <x:row r="18" ht="21" customHeight="1">
      <x:c r="A18" s="3"/>
      <x:c r="B18" s="3"/>
      <x:c r="C18" s="48"/>
      <x:c r="D18" s="48"/>
      <x:c r="E18" s="5"/>
      <x:c r="F18" s="5"/>
      <x:c r="G18" s="5"/>
      <x:c r="H18" s="5"/>
      <x:c r="I18" s="5"/>
      <x:c r="J18" s="5"/>
      <x:c r="K18" s="5"/>
      <x:c r="L18" s="5"/>
      <x:c r="M18" s="3"/>
      <x:c r="N18" s="78"/>
    </x:row>
    <x:row r="19" ht="21" customHeight="1">
      <x:c r="A19" s="6" t="str">
        <x:v>16-May-2026</x:v>
      </x:c>
      <x:c r="B19" s="6" t="str">
        <x:v>Emkay broker estimates</x:v>
      </x:c>
      <x:c r="C19" s="49" t="str">
        <x:v>1787745161_Emkay_Global_Report_-_Pricol.pdf</x:v>
      </x:c>
      <x:c r="D19" s="48"/>
      <x:c r="E19" s="5"/>
      <x:c r="F19" s="5"/>
      <x:c r="G19" s="5"/>
      <x:c r="H19" s="5"/>
      <x:c r="I19" s="5"/>
      <x:c r="J19" s="5"/>
      <x:c r="K19" s="5"/>
      <x:c r="L19" s="5"/>
      <x:c r="M19" s="3"/>
      <x:c r="N19" s="78"/>
    </x:row>
    <x:row r="20" ht="21" customHeight="1">
      <x:c r="A20" s="6" t="str">
        <x:v>07-Sep-2026</x:v>
      </x:c>
      <x:c r="B20" s="6" t="str">
        <x:v>Axis initiating coverage</x:v>
      </x:c>
      <x:c r="C20" s="49" t="str">
        <x:v>Pricol-Ltd---Initiating-Coverage-Report---07092026.pdf</x:v>
      </x:c>
      <x:c r="D20" s="48"/>
      <x:c r="E20" s="5"/>
      <x:c r="F20" s="5"/>
      <x:c r="G20" s="5"/>
      <x:c r="H20" s="5"/>
      <x:c r="I20" s="5"/>
      <x:c r="J20" s="5"/>
      <x:c r="K20" s="5"/>
      <x:c r="L20" s="5"/>
      <x:c r="M20" s="3"/>
      <x:c r="N20" s="78"/>
    </x:row>
    <x:row r="21" ht="21" customHeight="1">
      <x:c r="A21" s="3"/>
      <x:c r="B21" s="3"/>
      <x:c r="C21" s="5"/>
      <x:c r="D21" s="5"/>
      <x:c r="E21" s="5"/>
      <x:c r="F21" s="5"/>
      <x:c r="G21" s="5"/>
      <x:c r="H21" s="5"/>
      <x:c r="I21" s="5"/>
      <x:c r="J21" s="5"/>
      <x:c r="K21" s="5"/>
      <x:c r="L21" s="5"/>
      <x:c r="M21" s="3"/>
      <x:c r="N21" s="78"/>
    </x:row>
    <x:row r="22" ht="21" customHeight="1">
      <x:c r="A22" s="3"/>
      <x:c r="B22" s="3"/>
      <x:c r="C22" s="5"/>
      <x:c r="D22" s="5"/>
      <x:c r="E22" s="5"/>
      <x:c r="F22" s="5"/>
      <x:c r="G22" s="5"/>
      <x:c r="H22" s="5"/>
      <x:c r="I22" s="5"/>
      <x:c r="J22" s="5"/>
      <x:c r="K22" s="5"/>
      <x:c r="L22" s="5"/>
      <x:c r="M22" s="3"/>
      <x:c r="N22" s="78"/>
    </x:row>
    <x:row r="23" ht="21" customHeight="1">
      <x:c r="A23" s="3"/>
      <x:c r="B23" s="3"/>
      <x:c r="C23" s="5"/>
      <x:c r="D23" s="5"/>
      <x:c r="E23" s="5"/>
      <x:c r="F23" s="5"/>
      <x:c r="G23" s="5"/>
      <x:c r="H23" s="5"/>
      <x:c r="I23" s="5"/>
      <x:c r="J23" s="5"/>
      <x:c r="K23" s="5"/>
      <x:c r="L23" s="5"/>
      <x:c r="M23" s="3"/>
      <x:c r="N23" s="78"/>
    </x:row>
    <x:row r="24" ht="21" customHeight="1">
      <x:c r="A24" s="3"/>
      <x:c r="B24" s="3"/>
      <x:c r="C24" s="5"/>
      <x:c r="D24" s="5"/>
      <x:c r="E24" s="5"/>
      <x:c r="F24" s="5"/>
      <x:c r="G24" s="5"/>
      <x:c r="H24" s="5"/>
      <x:c r="I24" s="5"/>
      <x:c r="J24" s="5"/>
      <x:c r="K24" s="5"/>
      <x:c r="L24" s="5"/>
      <x:c r="M24" s="3"/>
      <x:c r="N24" s="78"/>
    </x:row>
    <x:row r="25" ht="21" customHeight="1">
      <x:c r="A25" s="3"/>
      <x:c r="B25" s="3"/>
      <x:c r="C25" s="5"/>
      <x:c r="D25" s="5"/>
      <x:c r="E25" s="5"/>
      <x:c r="F25" s="5"/>
      <x:c r="G25" s="5"/>
      <x:c r="H25" s="5"/>
      <x:c r="I25" s="5"/>
      <x:c r="J25" s="5"/>
      <x:c r="K25" s="5"/>
      <x:c r="L25" s="5"/>
      <x:c r="M25" s="3"/>
      <x:c r="N25" s="78"/>
    </x:row>
    <x:row r="26" ht="21" customHeight="1">
      <x:c r="A26" s="3"/>
      <x:c r="B26" s="3"/>
      <x:c r="C26" s="5"/>
      <x:c r="D26" s="5"/>
      <x:c r="E26" s="5"/>
      <x:c r="F26" s="5"/>
      <x:c r="G26" s="5"/>
      <x:c r="H26" s="5"/>
      <x:c r="I26" s="5"/>
      <x:c r="J26" s="5"/>
      <x:c r="K26" s="5"/>
      <x:c r="L26" s="5"/>
      <x:c r="M26" s="3"/>
      <x:c r="N26" s="78"/>
    </x:row>
    <x:row r="27" ht="21" customHeight="1">
      <x:c r="A27" s="3"/>
      <x:c r="B27" s="3"/>
      <x:c r="C27" s="5"/>
      <x:c r="D27" s="5"/>
      <x:c r="E27" s="5"/>
      <x:c r="F27" s="5"/>
      <x:c r="G27" s="5"/>
      <x:c r="H27" s="5"/>
      <x:c r="I27" s="5"/>
      <x:c r="J27" s="5"/>
      <x:c r="K27" s="5"/>
      <x:c r="L27" s="5"/>
      <x:c r="M27" s="3"/>
      <x:c r="N27" s="78"/>
    </x:row>
    <x:row r="28" ht="21" customHeight="1">
      <x:c r="A28" s="3"/>
      <x:c r="B28" s="3"/>
      <x:c r="C28" s="5"/>
      <x:c r="D28" s="5"/>
      <x:c r="E28" s="5"/>
      <x:c r="F28" s="5"/>
      <x:c r="G28" s="5"/>
      <x:c r="H28" s="5"/>
      <x:c r="I28" s="5"/>
      <x:c r="J28" s="5"/>
      <x:c r="K28" s="5"/>
      <x:c r="L28" s="5"/>
      <x:c r="M28" s="3"/>
      <x:c r="N28" s="78"/>
    </x:row>
    <x:row r="29" ht="21" customHeight="1">
      <x:c r="A29" s="3"/>
      <x:c r="B29" s="3"/>
      <x:c r="C29" s="5"/>
      <x:c r="D29" s="5"/>
      <x:c r="E29" s="5"/>
      <x:c r="F29" s="5"/>
      <x:c r="G29" s="5"/>
      <x:c r="H29" s="5"/>
      <x:c r="I29" s="5"/>
      <x:c r="J29" s="5"/>
      <x:c r="K29" s="5"/>
      <x:c r="L29" s="5"/>
      <x:c r="M29" s="3"/>
      <x:c r="N29" s="78"/>
    </x:row>
    <x:row r="30" ht="21" customHeight="1">
      <x:c r="A30" s="3"/>
      <x:c r="B30" s="3"/>
      <x:c r="C30" s="5"/>
      <x:c r="D30" s="5"/>
      <x:c r="E30" s="5"/>
      <x:c r="F30" s="5"/>
      <x:c r="G30" s="5"/>
      <x:c r="H30" s="5"/>
      <x:c r="I30" s="5"/>
      <x:c r="J30" s="5"/>
      <x:c r="K30" s="5"/>
      <x:c r="L30" s="5"/>
      <x:c r="M30" s="3"/>
      <x:c r="N30" s="78"/>
    </x:row>
    <x:row r="31" ht="21" customHeight="1">
      <x:c r="A31" s="3"/>
      <x:c r="B31" s="3"/>
      <x:c r="C31" s="5"/>
      <x:c r="D31" s="5"/>
      <x:c r="E31" s="5"/>
      <x:c r="F31" s="5"/>
      <x:c r="G31" s="5"/>
      <x:c r="H31" s="5"/>
      <x:c r="I31" s="5"/>
      <x:c r="J31" s="5"/>
      <x:c r="K31" s="5"/>
      <x:c r="L31" s="5"/>
      <x:c r="M31" s="3"/>
      <x:c r="N31" s="78"/>
    </x:row>
    <x:row r="32" ht="21" customHeight="1">
      <x:c r="A32" s="3"/>
      <x:c r="B32" s="3"/>
      <x:c r="C32" s="5"/>
      <x:c r="D32" s="5"/>
      <x:c r="E32" s="5"/>
      <x:c r="F32" s="5"/>
      <x:c r="G32" s="5"/>
      <x:c r="H32" s="5"/>
      <x:c r="I32" s="5"/>
      <x:c r="J32" s="5"/>
      <x:c r="K32" s="5"/>
      <x:c r="L32" s="5"/>
      <x:c r="M32" s="3"/>
      <x:c r="N32" s="78"/>
    </x:row>
    <x:row r="33" ht="21" customHeight="1">
      <x:c r="A33" s="3"/>
      <x:c r="B33" s="3"/>
      <x:c r="C33" s="5"/>
      <x:c r="D33" s="5"/>
      <x:c r="E33" s="5"/>
      <x:c r="F33" s="5"/>
      <x:c r="G33" s="5"/>
      <x:c r="H33" s="5"/>
      <x:c r="I33" s="5"/>
      <x:c r="J33" s="5"/>
      <x:c r="K33" s="5"/>
      <x:c r="L33" s="5"/>
      <x:c r="M33" s="3"/>
      <x:c r="N33" s="78"/>
    </x:row>
    <x:row r="34" ht="21" customHeight="1">
      <x:c r="A34" s="3"/>
      <x:c r="B34" s="3"/>
      <x:c r="C34" s="5"/>
      <x:c r="D34" s="5"/>
      <x:c r="E34" s="5"/>
      <x:c r="F34" s="5"/>
      <x:c r="G34" s="5"/>
      <x:c r="H34" s="5"/>
      <x:c r="I34" s="5"/>
      <x:c r="J34" s="5"/>
      <x:c r="K34" s="5"/>
      <x:c r="L34" s="5"/>
      <x:c r="M34" s="3"/>
      <x:c r="N34" s="78"/>
    </x:row>
    <x:row r="35" ht="21" customHeight="1">
      <x:c r="A35" s="3"/>
      <x:c r="B35" s="3"/>
      <x:c r="C35" s="5"/>
      <x:c r="D35" s="5"/>
      <x:c r="E35" s="5"/>
      <x:c r="F35" s="5"/>
      <x:c r="G35" s="5"/>
      <x:c r="H35" s="5"/>
      <x:c r="I35" s="5"/>
      <x:c r="J35" s="5"/>
      <x:c r="K35" s="5"/>
      <x:c r="L35" s="5"/>
      <x:c r="M35" s="3"/>
      <x:c r="N35" s="78"/>
    </x:row>
    <x:row r="36" ht="21" customHeight="1">
      <x:c r="A36" s="3"/>
      <x:c r="B36" s="3"/>
      <x:c r="C36" s="5"/>
      <x:c r="D36" s="5"/>
      <x:c r="E36" s="5"/>
      <x:c r="F36" s="5"/>
      <x:c r="G36" s="5"/>
      <x:c r="H36" s="5"/>
      <x:c r="I36" s="5"/>
      <x:c r="J36" s="5"/>
      <x:c r="K36" s="5"/>
      <x:c r="L36" s="5"/>
      <x:c r="M36" s="3"/>
      <x:c r="N36" s="78"/>
    </x:row>
    <x:row r="37" ht="21" customHeight="1">
      <x:c r="A37" s="3"/>
      <x:c r="B37" s="3"/>
      <x:c r="C37" s="5"/>
      <x:c r="D37" s="5"/>
      <x:c r="E37" s="5"/>
      <x:c r="F37" s="5"/>
      <x:c r="G37" s="5"/>
      <x:c r="H37" s="5"/>
      <x:c r="I37" s="5"/>
      <x:c r="J37" s="5"/>
      <x:c r="K37" s="5"/>
      <x:c r="L37" s="5"/>
      <x:c r="M37" s="3"/>
      <x:c r="N37" s="78"/>
    </x:row>
    <x:row r="38" ht="21" customHeight="1">
      <x:c r="A38" s="3"/>
      <x:c r="B38" s="3"/>
      <x:c r="C38" s="5"/>
      <x:c r="D38" s="5"/>
      <x:c r="E38" s="5"/>
      <x:c r="F38" s="5"/>
      <x:c r="G38" s="5"/>
      <x:c r="H38" s="5"/>
      <x:c r="I38" s="5"/>
      <x:c r="J38" s="5"/>
      <x:c r="K38" s="5"/>
      <x:c r="L38" s="5"/>
      <x:c r="M38" s="3"/>
      <x:c r="N38" s="78"/>
    </x:row>
    <x:row r="39" ht="21" customHeight="1">
      <x:c r="A39" s="3"/>
      <x:c r="B39" s="3"/>
      <x:c r="C39" s="5"/>
      <x:c r="D39" s="5"/>
      <x:c r="E39" s="5"/>
      <x:c r="F39" s="5"/>
      <x:c r="G39" s="5"/>
      <x:c r="H39" s="5"/>
      <x:c r="I39" s="5"/>
      <x:c r="J39" s="5"/>
      <x:c r="K39" s="5"/>
      <x:c r="L39" s="5"/>
      <x:c r="M39" s="3"/>
      <x:c r="N39" s="78"/>
    </x:row>
    <x:row r="40" ht="21" customHeight="1">
      <x:c r="A40" s="3"/>
      <x:c r="B40" s="3"/>
      <x:c r="C40" s="5"/>
      <x:c r="D40" s="5"/>
      <x:c r="E40" s="5"/>
      <x:c r="F40" s="5"/>
      <x:c r="G40" s="5"/>
      <x:c r="H40" s="5"/>
      <x:c r="I40" s="5"/>
      <x:c r="J40" s="5"/>
      <x:c r="K40" s="5"/>
      <x:c r="L40" s="5"/>
      <x:c r="M40" s="3"/>
      <x:c r="N40" s="78"/>
    </x:row>
    <x:row r="41" ht="21" customHeight="1">
      <x:c r="A41" s="3"/>
      <x:c r="B41" s="3"/>
      <x:c r="C41" s="5"/>
      <x:c r="D41" s="5"/>
      <x:c r="E41" s="5"/>
      <x:c r="F41" s="5"/>
      <x:c r="G41" s="5"/>
      <x:c r="H41" s="5"/>
      <x:c r="I41" s="5"/>
      <x:c r="J41" s="5"/>
      <x:c r="K41" s="5"/>
      <x:c r="L41" s="5"/>
      <x:c r="M41" s="3"/>
      <x:c r="N41" s="78"/>
    </x:row>
    <x:row r="42" ht="21" customHeight="1">
      <x:c r="A42" s="3"/>
      <x:c r="B42" s="3"/>
      <x:c r="C42" s="5"/>
      <x:c r="D42" s="5"/>
      <x:c r="E42" s="5"/>
      <x:c r="F42" s="5"/>
      <x:c r="G42" s="5"/>
      <x:c r="H42" s="5"/>
      <x:c r="I42" s="5"/>
      <x:c r="J42" s="5"/>
      <x:c r="K42" s="5"/>
      <x:c r="L42" s="5"/>
      <x:c r="M42" s="3"/>
      <x:c r="N42" s="78"/>
    </x:row>
    <x:row r="43" ht="21" customHeight="1">
      <x:c r="A43" s="3"/>
      <x:c r="B43" s="3"/>
      <x:c r="C43" s="5"/>
      <x:c r="D43" s="5"/>
      <x:c r="E43" s="5"/>
      <x:c r="F43" s="5"/>
      <x:c r="G43" s="5"/>
      <x:c r="H43" s="5"/>
      <x:c r="I43" s="5"/>
      <x:c r="J43" s="5"/>
      <x:c r="K43" s="5"/>
      <x:c r="L43" s="5"/>
      <x:c r="M43" s="3"/>
      <x:c r="N43" s="78"/>
    </x:row>
    <x:row r="44" ht="21" customHeight="1">
      <x:c r="A44" s="3"/>
      <x:c r="B44" s="3"/>
      <x:c r="C44" s="5"/>
      <x:c r="D44" s="5"/>
      <x:c r="E44" s="5"/>
      <x:c r="F44" s="5"/>
      <x:c r="G44" s="5"/>
      <x:c r="H44" s="5"/>
      <x:c r="I44" s="5"/>
      <x:c r="J44" s="5"/>
      <x:c r="K44" s="5"/>
      <x:c r="L44" s="5"/>
      <x:c r="M44" s="3"/>
      <x:c r="N44" s="78"/>
    </x:row>
    <x:row r="45" ht="21" customHeight="1">
      <x:c r="A45" s="3"/>
      <x:c r="B45" s="3"/>
      <x:c r="C45" s="5"/>
      <x:c r="D45" s="5"/>
      <x:c r="E45" s="5"/>
      <x:c r="F45" s="5"/>
      <x:c r="G45" s="5"/>
      <x:c r="H45" s="5"/>
      <x:c r="I45" s="5"/>
      <x:c r="J45" s="5"/>
      <x:c r="K45" s="5"/>
      <x:c r="L45" s="5"/>
      <x:c r="M45" s="3"/>
      <x:c r="N45" s="78"/>
    </x:row>
    <x:row r="46" ht="21" customHeight="1">
      <x:c r="A46" s="3"/>
      <x:c r="B46" s="3"/>
      <x:c r="C46" s="5"/>
      <x:c r="D46" s="5"/>
      <x:c r="E46" s="5"/>
      <x:c r="F46" s="5"/>
      <x:c r="G46" s="5"/>
      <x:c r="H46" s="5"/>
      <x:c r="I46" s="5"/>
      <x:c r="J46" s="5"/>
      <x:c r="K46" s="5"/>
      <x:c r="L46" s="5"/>
      <x:c r="M46" s="3"/>
      <x:c r="N46" s="78"/>
    </x:row>
    <x:row r="47" ht="21" customHeight="1">
      <x:c r="A47" s="3"/>
      <x:c r="B47" s="3"/>
      <x:c r="C47" s="5"/>
      <x:c r="D47" s="5"/>
      <x:c r="E47" s="5"/>
      <x:c r="F47" s="5"/>
      <x:c r="G47" s="5"/>
      <x:c r="H47" s="5"/>
      <x:c r="I47" s="5"/>
      <x:c r="J47" s="5"/>
      <x:c r="K47" s="5"/>
      <x:c r="L47" s="5"/>
      <x:c r="M47" s="3"/>
      <x:c r="N47" s="78"/>
    </x:row>
    <x:row r="48" ht="21" customHeight="1">
      <x:c r="A48" s="3"/>
      <x:c r="B48" s="3"/>
      <x:c r="C48" s="5"/>
      <x:c r="D48" s="5"/>
      <x:c r="E48" s="5"/>
      <x:c r="F48" s="5"/>
      <x:c r="G48" s="5"/>
      <x:c r="H48" s="5"/>
      <x:c r="I48" s="5"/>
      <x:c r="J48" s="5"/>
      <x:c r="K48" s="5"/>
      <x:c r="L48" s="5"/>
      <x:c r="M48" s="3"/>
      <x:c r="N48" s="78"/>
    </x:row>
    <x:row r="49" ht="21" customHeight="1">
      <x:c r="A49" s="3"/>
      <x:c r="B49" s="3"/>
      <x:c r="C49" s="5"/>
      <x:c r="D49" s="5"/>
      <x:c r="E49" s="5"/>
      <x:c r="F49" s="5"/>
      <x:c r="G49" s="5"/>
      <x:c r="H49" s="5"/>
      <x:c r="I49" s="5"/>
      <x:c r="J49" s="5"/>
      <x:c r="K49" s="5"/>
      <x:c r="L49" s="5"/>
      <x:c r="M49" s="3"/>
      <x:c r="N49" s="78"/>
    </x:row>
    <x:row r="50" ht="21" customHeight="1">
      <x:c r="A50" s="3"/>
      <x:c r="B50" s="3"/>
      <x:c r="C50" s="5"/>
      <x:c r="D50" s="5"/>
      <x:c r="E50" s="5"/>
      <x:c r="F50" s="5"/>
      <x:c r="G50" s="5"/>
      <x:c r="H50" s="5"/>
      <x:c r="I50" s="5"/>
      <x:c r="J50" s="5"/>
      <x:c r="K50" s="5"/>
      <x:c r="L50" s="5"/>
      <x:c r="M50" s="3"/>
      <x:c r="N50" s="78"/>
    </x:row>
    <x:row r="51" ht="21" customHeight="1">
      <x:c r="A51" s="3"/>
      <x:c r="B51" s="3"/>
      <x:c r="C51" s="5"/>
      <x:c r="D51" s="5"/>
      <x:c r="E51" s="5"/>
      <x:c r="F51" s="5"/>
      <x:c r="G51" s="5"/>
      <x:c r="H51" s="5"/>
      <x:c r="I51" s="5"/>
      <x:c r="J51" s="5"/>
      <x:c r="K51" s="5"/>
      <x:c r="L51" s="5"/>
      <x:c r="M51" s="3"/>
      <x:c r="N51" s="78"/>
    </x:row>
    <x:row r="52" ht="21" customHeight="1">
      <x:c r="A52" s="3"/>
      <x:c r="B52" s="3"/>
      <x:c r="C52" s="5"/>
      <x:c r="D52" s="5"/>
      <x:c r="E52" s="5"/>
      <x:c r="F52" s="5"/>
      <x:c r="G52" s="5"/>
      <x:c r="H52" s="5"/>
      <x:c r="I52" s="5"/>
      <x:c r="J52" s="5"/>
      <x:c r="K52" s="5"/>
      <x:c r="L52" s="5"/>
      <x:c r="M52" s="3"/>
      <x:c r="N52" s="78"/>
    </x:row>
    <x:row r="53" ht="21" customHeight="1">
      <x:c r="A53" s="3"/>
      <x:c r="B53" s="3"/>
      <x:c r="C53" s="5"/>
      <x:c r="D53" s="5"/>
      <x:c r="E53" s="5"/>
      <x:c r="F53" s="5"/>
      <x:c r="G53" s="5"/>
      <x:c r="H53" s="5"/>
      <x:c r="I53" s="5"/>
      <x:c r="J53" s="5"/>
      <x:c r="K53" s="5"/>
      <x:c r="L53" s="5"/>
      <x:c r="M53" s="3"/>
      <x:c r="N53" s="78"/>
    </x:row>
    <x:row r="54" ht="21" customHeight="1">
      <x:c r="A54" s="3"/>
      <x:c r="B54" s="3"/>
      <x:c r="C54" s="5"/>
      <x:c r="D54" s="5"/>
      <x:c r="E54" s="5"/>
      <x:c r="F54" s="5"/>
      <x:c r="G54" s="5"/>
      <x:c r="H54" s="5"/>
      <x:c r="I54" s="5"/>
      <x:c r="J54" s="5"/>
      <x:c r="K54" s="5"/>
      <x:c r="L54" s="5"/>
      <x:c r="M54" s="3"/>
      <x:c r="N54" s="78"/>
    </x:row>
    <x:row r="55" ht="21" customHeight="1">
      <x:c r="A55" s="3"/>
      <x:c r="B55" s="3"/>
      <x:c r="C55" s="5"/>
      <x:c r="D55" s="5"/>
      <x:c r="E55" s="5"/>
      <x:c r="F55" s="5"/>
      <x:c r="G55" s="5"/>
      <x:c r="H55" s="5"/>
      <x:c r="I55" s="5"/>
      <x:c r="J55" s="5"/>
      <x:c r="K55" s="5"/>
      <x:c r="L55" s="5"/>
      <x:c r="M55" s="3"/>
      <x:c r="N55" s="78"/>
    </x:row>
    <x:row r="56" ht="21" customHeight="1">
      <x:c r="A56" s="3"/>
      <x:c r="B56" s="3"/>
      <x:c r="C56" s="5"/>
      <x:c r="D56" s="5"/>
      <x:c r="E56" s="5"/>
      <x:c r="F56" s="5"/>
      <x:c r="G56" s="5"/>
      <x:c r="H56" s="5"/>
      <x:c r="I56" s="5"/>
      <x:c r="J56" s="5"/>
      <x:c r="K56" s="5"/>
      <x:c r="L56" s="5"/>
      <x:c r="M56" s="3"/>
      <x:c r="N56" s="78"/>
    </x:row>
    <x:row r="57" ht="21" customHeight="1">
      <x:c r="A57" s="3"/>
      <x:c r="B57" s="3"/>
      <x:c r="C57" s="5"/>
      <x:c r="D57" s="5"/>
      <x:c r="E57" s="5"/>
      <x:c r="F57" s="5"/>
      <x:c r="G57" s="5"/>
      <x:c r="H57" s="5"/>
      <x:c r="I57" s="5"/>
      <x:c r="J57" s="5"/>
      <x:c r="K57" s="5"/>
      <x:c r="L57" s="5"/>
      <x:c r="M57" s="3"/>
      <x:c r="N57" s="78"/>
    </x:row>
    <x:row r="58" ht="21" customHeight="1">
      <x:c r="A58" s="3"/>
      <x:c r="B58" s="3"/>
      <x:c r="C58" s="5"/>
      <x:c r="D58" s="5"/>
      <x:c r="E58" s="5"/>
      <x:c r="F58" s="5"/>
      <x:c r="G58" s="5"/>
      <x:c r="H58" s="5"/>
      <x:c r="I58" s="5"/>
      <x:c r="J58" s="5"/>
      <x:c r="K58" s="5"/>
      <x:c r="L58" s="5"/>
      <x:c r="M58" s="3"/>
      <x:c r="N58" s="78"/>
    </x:row>
    <x:row r="59" ht="21" customHeight="1">
      <x:c r="A59" s="3"/>
      <x:c r="B59" s="3"/>
      <x:c r="C59" s="5"/>
      <x:c r="D59" s="5"/>
      <x:c r="E59" s="5"/>
      <x:c r="F59" s="5"/>
      <x:c r="G59" s="5"/>
      <x:c r="H59" s="5"/>
      <x:c r="I59" s="5"/>
      <x:c r="J59" s="5"/>
      <x:c r="K59" s="5"/>
      <x:c r="L59" s="5"/>
      <x:c r="M59" s="3"/>
      <x:c r="N59" s="78"/>
    </x:row>
    <x:row r="60" ht="21" customHeight="1">
      <x:c r="A60" s="3"/>
      <x:c r="B60" s="3"/>
      <x:c r="C60" s="5"/>
      <x:c r="D60" s="5"/>
      <x:c r="E60" s="5"/>
      <x:c r="F60" s="5"/>
      <x:c r="G60" s="5"/>
      <x:c r="H60" s="5"/>
      <x:c r="I60" s="5"/>
      <x:c r="J60" s="5"/>
      <x:c r="K60" s="5"/>
      <x:c r="L60" s="5"/>
      <x:c r="M60" s="3"/>
      <x:c r="N60" s="78"/>
    </x:row>
    <x:row r="61" ht="21" customHeight="1">
      <x:c r="A61" s="3"/>
      <x:c r="B61" s="3"/>
      <x:c r="C61" s="5"/>
      <x:c r="D61" s="5"/>
      <x:c r="E61" s="5"/>
      <x:c r="F61" s="5"/>
      <x:c r="G61" s="5"/>
      <x:c r="H61" s="5"/>
      <x:c r="I61" s="5"/>
      <x:c r="J61" s="5"/>
      <x:c r="K61" s="5"/>
      <x:c r="L61" s="5"/>
      <x:c r="M61" s="3"/>
      <x:c r="N61" s="78"/>
    </x:row>
    <x:row r="62" ht="21" customHeight="1">
      <x:c r="A62" s="3"/>
      <x:c r="B62" s="3"/>
      <x:c r="C62" s="5"/>
      <x:c r="D62" s="5"/>
      <x:c r="E62" s="5"/>
      <x:c r="F62" s="5"/>
      <x:c r="G62" s="5"/>
      <x:c r="H62" s="5"/>
      <x:c r="I62" s="5"/>
      <x:c r="J62" s="5"/>
      <x:c r="K62" s="5"/>
      <x:c r="L62" s="5"/>
      <x:c r="M62" s="3"/>
      <x:c r="N62" s="78"/>
    </x:row>
    <x:row r="63" ht="21" customHeight="1">
      <x:c r="A63" s="3"/>
      <x:c r="B63" s="3"/>
      <x:c r="C63" s="5"/>
      <x:c r="D63" s="5"/>
      <x:c r="E63" s="5"/>
      <x:c r="F63" s="5"/>
      <x:c r="G63" s="5"/>
      <x:c r="H63" s="5"/>
      <x:c r="I63" s="5"/>
      <x:c r="J63" s="5"/>
      <x:c r="K63" s="5"/>
      <x:c r="L63" s="5"/>
      <x:c r="M63" s="3"/>
      <x:c r="N63" s="78"/>
    </x:row>
    <x:row r="64" ht="21" customHeight="1">
      <x:c r="A64" s="3"/>
      <x:c r="B64" s="3"/>
      <x:c r="C64" s="5"/>
      <x:c r="D64" s="5"/>
      <x:c r="E64" s="5"/>
      <x:c r="F64" s="5"/>
      <x:c r="G64" s="5"/>
      <x:c r="H64" s="5"/>
      <x:c r="I64" s="5"/>
      <x:c r="J64" s="5"/>
      <x:c r="K64" s="5"/>
      <x:c r="L64" s="5"/>
      <x:c r="M64" s="3"/>
      <x:c r="N64" s="78"/>
    </x:row>
    <x:row r="65" ht="21" customHeight="1">
      <x:c r="A65" s="3"/>
      <x:c r="B65" s="3"/>
      <x:c r="C65" s="5"/>
      <x:c r="D65" s="5"/>
      <x:c r="E65" s="5"/>
      <x:c r="F65" s="5"/>
      <x:c r="G65" s="5"/>
      <x:c r="H65" s="5"/>
      <x:c r="I65" s="5"/>
      <x:c r="J65" s="5"/>
      <x:c r="K65" s="5"/>
      <x:c r="L65" s="5"/>
      <x:c r="M65" s="3"/>
      <x:c r="N65" s="78"/>
    </x:row>
    <x:row r="66" ht="21" customHeight="1">
      <x:c r="A66" s="3"/>
      <x:c r="B66" s="3"/>
      <x:c r="C66" s="5"/>
      <x:c r="D66" s="5"/>
      <x:c r="E66" s="5"/>
      <x:c r="F66" s="5"/>
      <x:c r="G66" s="5"/>
      <x:c r="H66" s="5"/>
      <x:c r="I66" s="5"/>
      <x:c r="J66" s="5"/>
      <x:c r="K66" s="5"/>
      <x:c r="L66" s="5"/>
      <x:c r="M66" s="3"/>
      <x:c r="N66" s="78"/>
    </x:row>
    <x:row r="67" ht="21" customHeight="1">
      <x:c r="A67" s="3"/>
      <x:c r="B67" s="3"/>
      <x:c r="C67" s="5"/>
      <x:c r="D67" s="5"/>
      <x:c r="E67" s="5"/>
      <x:c r="F67" s="5"/>
      <x:c r="G67" s="5"/>
      <x:c r="H67" s="5"/>
      <x:c r="I67" s="5"/>
      <x:c r="J67" s="5"/>
      <x:c r="K67" s="5"/>
      <x:c r="L67" s="5"/>
      <x:c r="M67" s="3"/>
      <x:c r="N67" s="78"/>
    </x:row>
    <x:row r="68" ht="21" customHeight="1">
      <x:c r="A68" s="3"/>
      <x:c r="B68" s="3"/>
      <x:c r="C68" s="5"/>
      <x:c r="D68" s="5"/>
      <x:c r="E68" s="5"/>
      <x:c r="F68" s="5"/>
      <x:c r="G68" s="5"/>
      <x:c r="H68" s="5"/>
      <x:c r="I68" s="5"/>
      <x:c r="J68" s="5"/>
      <x:c r="K68" s="5"/>
      <x:c r="L68" s="5"/>
      <x:c r="M68" s="3"/>
      <x:c r="N68" s="78"/>
    </x:row>
    <x:row r="69" ht="21" customHeight="1">
      <x:c r="A69" s="3"/>
      <x:c r="B69" s="3"/>
      <x:c r="C69" s="5"/>
      <x:c r="D69" s="5"/>
      <x:c r="E69" s="5"/>
      <x:c r="F69" s="5"/>
      <x:c r="G69" s="5"/>
      <x:c r="H69" s="5"/>
      <x:c r="I69" s="5"/>
      <x:c r="J69" s="5"/>
      <x:c r="K69" s="5"/>
      <x:c r="L69" s="5"/>
      <x:c r="M69" s="3"/>
      <x:c r="N69" s="78"/>
    </x:row>
    <x:row r="70" ht="21" customHeight="1">
      <x:c r="A70" s="3"/>
      <x:c r="B70" s="3"/>
      <x:c r="C70" s="5"/>
      <x:c r="D70" s="5"/>
      <x:c r="E70" s="5"/>
      <x:c r="F70" s="5"/>
      <x:c r="G70" s="5"/>
      <x:c r="H70" s="5"/>
      <x:c r="I70" s="5"/>
      <x:c r="J70" s="5"/>
      <x:c r="K70" s="5"/>
      <x:c r="L70" s="5"/>
      <x:c r="M70" s="3"/>
      <x:c r="N70" s="78"/>
    </x:row>
    <x:row r="71" ht="21" customHeight="1">
      <x:c r="A71" s="3"/>
      <x:c r="B71" s="3"/>
      <x:c r="C71" s="5"/>
      <x:c r="D71" s="5"/>
      <x:c r="E71" s="5"/>
      <x:c r="F71" s="5"/>
      <x:c r="G71" s="5"/>
      <x:c r="H71" s="5"/>
      <x:c r="I71" s="5"/>
      <x:c r="J71" s="5"/>
      <x:c r="K71" s="5"/>
      <x:c r="L71" s="5"/>
      <x:c r="M71" s="3"/>
      <x:c r="N71" s="78"/>
    </x:row>
    <x:row r="72" ht="21" customHeight="1">
      <x:c r="A72" s="3"/>
      <x:c r="B72" s="3"/>
      <x:c r="C72" s="5"/>
      <x:c r="D72" s="5"/>
      <x:c r="E72" s="5"/>
      <x:c r="F72" s="5"/>
      <x:c r="G72" s="5"/>
      <x:c r="H72" s="5"/>
      <x:c r="I72" s="5"/>
      <x:c r="J72" s="5"/>
      <x:c r="K72" s="5"/>
      <x:c r="L72" s="5"/>
      <x:c r="M72" s="3"/>
      <x:c r="N72" s="78"/>
    </x:row>
    <x:row r="73" ht="21" customHeight="1">
      <x:c r="A73" s="3"/>
      <x:c r="B73" s="3"/>
      <x:c r="C73" s="5"/>
      <x:c r="D73" s="5"/>
      <x:c r="E73" s="5"/>
      <x:c r="F73" s="5"/>
      <x:c r="G73" s="5"/>
      <x:c r="H73" s="5"/>
      <x:c r="I73" s="5"/>
      <x:c r="J73" s="5"/>
      <x:c r="K73" s="5"/>
      <x:c r="L73" s="5"/>
      <x:c r="M73" s="3"/>
      <x:c r="N73" s="78"/>
    </x:row>
    <x:row r="74" ht="21" customHeight="1">
      <x:c r="A74" s="3"/>
      <x:c r="B74" s="3"/>
      <x:c r="C74" s="5"/>
      <x:c r="D74" s="5"/>
      <x:c r="E74" s="5"/>
      <x:c r="F74" s="5"/>
      <x:c r="G74" s="5"/>
      <x:c r="H74" s="5"/>
      <x:c r="I74" s="5"/>
      <x:c r="J74" s="5"/>
      <x:c r="K74" s="5"/>
      <x:c r="L74" s="5"/>
      <x:c r="M74" s="3"/>
      <x:c r="N74" s="78"/>
    </x:row>
    <x:row r="75" ht="21" customHeight="1">
      <x:c r="A75" s="3"/>
      <x:c r="B75" s="3"/>
      <x:c r="C75" s="5"/>
      <x:c r="D75" s="5"/>
      <x:c r="E75" s="5"/>
      <x:c r="F75" s="5"/>
      <x:c r="G75" s="5"/>
      <x:c r="H75" s="5"/>
      <x:c r="I75" s="5"/>
      <x:c r="J75" s="5"/>
      <x:c r="K75" s="5"/>
      <x:c r="L75" s="5"/>
      <x:c r="M75" s="3"/>
      <x:c r="N75" s="78"/>
    </x:row>
    <x:row r="76" ht="21" customHeight="1">
      <x:c r="A76" s="3"/>
      <x:c r="B76" s="3"/>
      <x:c r="C76" s="5"/>
      <x:c r="D76" s="5"/>
      <x:c r="E76" s="5"/>
      <x:c r="F76" s="5"/>
      <x:c r="G76" s="5"/>
      <x:c r="H76" s="5"/>
      <x:c r="I76" s="5"/>
      <x:c r="J76" s="5"/>
      <x:c r="K76" s="5"/>
      <x:c r="L76" s="5"/>
      <x:c r="M76" s="3"/>
      <x:c r="N76" s="78"/>
    </x:row>
    <x:row r="77" ht="21" customHeight="1">
      <x:c r="A77" s="3"/>
      <x:c r="B77" s="3"/>
      <x:c r="C77" s="5"/>
      <x:c r="D77" s="5"/>
      <x:c r="E77" s="5"/>
      <x:c r="F77" s="5"/>
      <x:c r="G77" s="5"/>
      <x:c r="H77" s="5"/>
      <x:c r="I77" s="5"/>
      <x:c r="J77" s="5"/>
      <x:c r="K77" s="5"/>
      <x:c r="L77" s="5"/>
      <x:c r="M77" s="3"/>
      <x:c r="N77" s="78"/>
    </x:row>
    <x:row r="78" ht="21" customHeight="1">
      <x:c r="A78" s="3"/>
      <x:c r="B78" s="3"/>
      <x:c r="C78" s="5"/>
      <x:c r="D78" s="5"/>
      <x:c r="E78" s="5"/>
      <x:c r="F78" s="5"/>
      <x:c r="G78" s="5"/>
      <x:c r="H78" s="5"/>
      <x:c r="I78" s="5"/>
      <x:c r="J78" s="5"/>
      <x:c r="K78" s="5"/>
      <x:c r="L78" s="5"/>
      <x:c r="M78" s="3"/>
      <x:c r="N78" s="78"/>
    </x:row>
    <x:row r="79" ht="21" customHeight="1">
      <x:c r="A79" s="3"/>
      <x:c r="B79" s="3"/>
      <x:c r="C79" s="5"/>
      <x:c r="D79" s="5"/>
      <x:c r="E79" s="5"/>
      <x:c r="F79" s="5"/>
      <x:c r="G79" s="5"/>
      <x:c r="H79" s="5"/>
      <x:c r="I79" s="5"/>
      <x:c r="J79" s="5"/>
      <x:c r="K79" s="5"/>
      <x:c r="L79" s="5"/>
      <x:c r="M79" s="3"/>
      <x:c r="N79" s="78"/>
    </x:row>
    <x:row r="80" ht="21" customHeight="1">
      <x:c r="A80" s="3"/>
      <x:c r="B80" s="3"/>
      <x:c r="C80" s="5"/>
      <x:c r="D80" s="5"/>
      <x:c r="E80" s="5"/>
      <x:c r="F80" s="5"/>
      <x:c r="G80" s="5"/>
      <x:c r="H80" s="5"/>
      <x:c r="I80" s="5"/>
      <x:c r="J80" s="5"/>
      <x:c r="K80" s="5"/>
      <x:c r="L80" s="5"/>
      <x:c r="M80" s="3"/>
      <x:c r="N80" s="78"/>
    </x:row>
    <x:row r="81" ht="21" customHeight="1">
      <x:c r="A81" s="3"/>
      <x:c r="B81" s="3"/>
      <x:c r="C81" s="5"/>
      <x:c r="D81" s="5"/>
      <x:c r="E81" s="5"/>
      <x:c r="F81" s="5"/>
      <x:c r="G81" s="5"/>
      <x:c r="H81" s="5"/>
      <x:c r="I81" s="5"/>
      <x:c r="J81" s="5"/>
      <x:c r="K81" s="5"/>
      <x:c r="L81" s="5"/>
      <x:c r="M81" s="3"/>
      <x:c r="N81" s="78"/>
    </x:row>
    <x:row r="82" ht="21" customHeight="1">
      <x:c r="A82" s="3"/>
      <x:c r="B82" s="3"/>
      <x:c r="C82" s="5"/>
      <x:c r="D82" s="5"/>
      <x:c r="E82" s="5"/>
      <x:c r="F82" s="5"/>
      <x:c r="G82" s="5"/>
      <x:c r="H82" s="5"/>
      <x:c r="I82" s="5"/>
      <x:c r="J82" s="5"/>
      <x:c r="K82" s="5"/>
      <x:c r="L82" s="5"/>
      <x:c r="M82" s="3"/>
      <x:c r="N82" s="78"/>
    </x:row>
    <x:row r="83" ht="21" customHeight="1">
      <x:c r="A83" s="3"/>
      <x:c r="B83" s="3"/>
      <x:c r="C83" s="5"/>
      <x:c r="D83" s="5"/>
      <x:c r="E83" s="5"/>
      <x:c r="F83" s="5"/>
      <x:c r="G83" s="5"/>
      <x:c r="H83" s="5"/>
      <x:c r="I83" s="5"/>
      <x:c r="J83" s="5"/>
      <x:c r="K83" s="5"/>
      <x:c r="L83" s="5"/>
      <x:c r="M83" s="3"/>
      <x:c r="N83" s="78"/>
    </x:row>
    <x:row r="84" ht="21" customHeight="1">
      <x:c r="A84" s="3"/>
      <x:c r="B84" s="3"/>
      <x:c r="C84" s="5"/>
      <x:c r="D84" s="5"/>
      <x:c r="E84" s="5"/>
      <x:c r="F84" s="5"/>
      <x:c r="G84" s="5"/>
      <x:c r="H84" s="5"/>
      <x:c r="I84" s="5"/>
      <x:c r="J84" s="5"/>
      <x:c r="K84" s="5"/>
      <x:c r="L84" s="5"/>
      <x:c r="M84" s="3"/>
      <x:c r="N84" s="78"/>
    </x:row>
    <x:row r="85" ht="21" customHeight="1">
      <x:c r="A85" s="3"/>
      <x:c r="B85" s="3"/>
      <x:c r="C85" s="5"/>
      <x:c r="D85" s="5"/>
      <x:c r="E85" s="5"/>
      <x:c r="F85" s="5"/>
      <x:c r="G85" s="5"/>
      <x:c r="H85" s="5"/>
      <x:c r="I85" s="5"/>
      <x:c r="J85" s="5"/>
      <x:c r="K85" s="5"/>
      <x:c r="L85" s="5"/>
      <x:c r="M85" s="3"/>
      <x:c r="N85" s="78"/>
    </x:row>
    <x:row r="86" ht="21" customHeight="1">
      <x:c r="A86" s="3"/>
      <x:c r="B86" s="3"/>
      <x:c r="C86" s="5"/>
      <x:c r="D86" s="5"/>
      <x:c r="E86" s="5"/>
      <x:c r="F86" s="5"/>
      <x:c r="G86" s="5"/>
      <x:c r="H86" s="5"/>
      <x:c r="I86" s="5"/>
      <x:c r="J86" s="5"/>
      <x:c r="K86" s="5"/>
      <x:c r="L86" s="5"/>
      <x:c r="M86" s="3"/>
      <x:c r="N86" s="78"/>
    </x:row>
    <x:row r="87" ht="21" customHeight="1">
      <x:c r="A87" s="3"/>
      <x:c r="B87" s="3"/>
      <x:c r="C87" s="5"/>
      <x:c r="D87" s="5"/>
      <x:c r="E87" s="5"/>
      <x:c r="F87" s="5"/>
      <x:c r="G87" s="5"/>
      <x:c r="H87" s="5"/>
      <x:c r="I87" s="5"/>
      <x:c r="J87" s="5"/>
      <x:c r="K87" s="5"/>
      <x:c r="L87" s="5"/>
      <x:c r="M87" s="3"/>
      <x:c r="N87" s="78"/>
    </x:row>
    <x:row r="88" ht="21" customHeight="1">
      <x:c r="A88" s="3"/>
      <x:c r="B88" s="3"/>
      <x:c r="C88" s="5"/>
      <x:c r="D88" s="5"/>
      <x:c r="E88" s="5"/>
      <x:c r="F88" s="5"/>
      <x:c r="G88" s="5"/>
      <x:c r="H88" s="5"/>
      <x:c r="I88" s="5"/>
      <x:c r="J88" s="5"/>
      <x:c r="K88" s="5"/>
      <x:c r="L88" s="5"/>
      <x:c r="M88" s="3"/>
      <x:c r="N88" s="78"/>
    </x:row>
    <x:row r="89" ht="21" customHeight="1">
      <x:c r="A89" s="3"/>
      <x:c r="B89" s="3"/>
      <x:c r="C89" s="5"/>
      <x:c r="D89" s="5"/>
      <x:c r="E89" s="5"/>
      <x:c r="F89" s="5"/>
      <x:c r="G89" s="5"/>
      <x:c r="H89" s="5"/>
      <x:c r="I89" s="5"/>
      <x:c r="J89" s="5"/>
      <x:c r="K89" s="5"/>
      <x:c r="L89" s="5"/>
      <x:c r="M89" s="3"/>
      <x:c r="N89" s="78"/>
    </x:row>
    <x:row r="90" ht="21" customHeight="1">
      <x:c r="A90" s="3"/>
      <x:c r="B90" s="3"/>
      <x:c r="C90" s="5"/>
      <x:c r="D90" s="5"/>
      <x:c r="E90" s="5"/>
      <x:c r="F90" s="5"/>
      <x:c r="G90" s="5"/>
      <x:c r="H90" s="5"/>
      <x:c r="I90" s="5"/>
      <x:c r="J90" s="5"/>
      <x:c r="K90" s="5"/>
      <x:c r="L90" s="5"/>
      <x:c r="M90" s="3"/>
      <x:c r="N90" s="78"/>
    </x:row>
    <x:row r="91" ht="21" customHeight="1">
      <x:c r="A91" s="3"/>
      <x:c r="B91" s="3"/>
      <x:c r="C91" s="5"/>
      <x:c r="D91" s="5"/>
      <x:c r="E91" s="5"/>
      <x:c r="F91" s="5"/>
      <x:c r="G91" s="5"/>
      <x:c r="H91" s="5"/>
      <x:c r="I91" s="5"/>
      <x:c r="J91" s="5"/>
      <x:c r="K91" s="5"/>
      <x:c r="L91" s="5"/>
      <x:c r="M91" s="3"/>
      <x:c r="N91" s="78"/>
    </x:row>
    <x:row r="92" ht="21" customHeight="1">
      <x:c r="A92" s="3"/>
      <x:c r="B92" s="3"/>
      <x:c r="C92" s="5"/>
      <x:c r="D92" s="5"/>
      <x:c r="E92" s="5"/>
      <x:c r="F92" s="5"/>
      <x:c r="G92" s="5"/>
      <x:c r="H92" s="5"/>
      <x:c r="I92" s="5"/>
      <x:c r="J92" s="5"/>
      <x:c r="K92" s="5"/>
      <x:c r="L92" s="5"/>
      <x:c r="M92" s="3"/>
      <x:c r="N92" s="78"/>
    </x:row>
    <x:row r="93" ht="21" customHeight="1">
      <x:c r="A93" s="3"/>
      <x:c r="B93" s="3"/>
      <x:c r="C93" s="5"/>
      <x:c r="D93" s="5"/>
      <x:c r="E93" s="5"/>
      <x:c r="F93" s="5"/>
      <x:c r="G93" s="5"/>
      <x:c r="H93" s="5"/>
      <x:c r="I93" s="5"/>
      <x:c r="J93" s="5"/>
      <x:c r="K93" s="5"/>
      <x:c r="L93" s="5"/>
      <x:c r="M93" s="3"/>
      <x:c r="N93" s="78"/>
    </x:row>
    <x:row r="94" ht="21" customHeight="1">
      <x:c r="A94" s="3"/>
      <x:c r="B94" s="3"/>
      <x:c r="C94" s="5"/>
      <x:c r="D94" s="5"/>
      <x:c r="E94" s="5"/>
      <x:c r="F94" s="5"/>
      <x:c r="G94" s="5"/>
      <x:c r="H94" s="5"/>
      <x:c r="I94" s="5"/>
      <x:c r="J94" s="5"/>
      <x:c r="K94" s="5"/>
      <x:c r="L94" s="5"/>
      <x:c r="M94" s="3"/>
      <x:c r="N94" s="78"/>
    </x:row>
    <x:row r="95" ht="21" customHeight="1">
      <x:c r="A95" s="3"/>
      <x:c r="B95" s="3"/>
      <x:c r="C95" s="5"/>
      <x:c r="D95" s="5"/>
      <x:c r="E95" s="5"/>
      <x:c r="F95" s="5"/>
      <x:c r="G95" s="5"/>
      <x:c r="H95" s="5"/>
      <x:c r="I95" s="5"/>
      <x:c r="J95" s="5"/>
      <x:c r="K95" s="5"/>
      <x:c r="L95" s="5"/>
      <x:c r="M95" s="3"/>
      <x:c r="N95" s="78"/>
    </x:row>
    <x:row r="96" ht="21" customHeight="1">
      <x:c r="A96" s="3"/>
      <x:c r="B96" s="3"/>
      <x:c r="C96" s="5"/>
      <x:c r="D96" s="5"/>
      <x:c r="E96" s="5"/>
      <x:c r="F96" s="5"/>
      <x:c r="G96" s="5"/>
      <x:c r="H96" s="5"/>
      <x:c r="I96" s="5"/>
      <x:c r="J96" s="5"/>
      <x:c r="K96" s="5"/>
      <x:c r="L96" s="5"/>
      <x:c r="M96" s="3"/>
      <x:c r="N96" s="78"/>
    </x:row>
    <x:row r="97" ht="21" customHeight="1">
      <x:c r="A97" s="3"/>
      <x:c r="B97" s="3"/>
      <x:c r="C97" s="5"/>
      <x:c r="D97" s="5"/>
      <x:c r="E97" s="5"/>
      <x:c r="F97" s="5"/>
      <x:c r="G97" s="5"/>
      <x:c r="H97" s="5"/>
      <x:c r="I97" s="5"/>
      <x:c r="J97" s="5"/>
      <x:c r="K97" s="5"/>
      <x:c r="L97" s="5"/>
      <x:c r="M97" s="3"/>
      <x:c r="N97" s="78"/>
    </x:row>
    <x:row r="98" ht="21" customHeight="1">
      <x:c r="A98" s="3"/>
      <x:c r="B98" s="3"/>
      <x:c r="C98" s="5"/>
      <x:c r="D98" s="5"/>
      <x:c r="E98" s="5"/>
      <x:c r="F98" s="5"/>
      <x:c r="G98" s="5"/>
      <x:c r="H98" s="5"/>
      <x:c r="I98" s="5"/>
      <x:c r="J98" s="5"/>
      <x:c r="K98" s="5"/>
      <x:c r="L98" s="5"/>
      <x:c r="M98" s="3"/>
      <x:c r="N98" s="78"/>
    </x:row>
    <x:row r="99" ht="21" customHeight="1">
      <x:c r="A99" s="3"/>
      <x:c r="B99" s="3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3"/>
      <x:c r="N99" s="78"/>
    </x:row>
    <x:row r="100" ht="21" customHeight="1">
      <x:c r="A100" s="3"/>
      <x:c r="B100" s="3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3"/>
      <x:c r="N100" s="78"/>
    </x:row>
  </x:sheetData>
  <x:pageMargins left="0.7" right="0.7" top="0.75" bottom="0.75" header="0.3" footer="0.3"/>
</x:worksheet>
</file>
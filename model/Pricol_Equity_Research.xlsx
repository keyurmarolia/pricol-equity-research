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44b0974c5e42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ver" sheetId="1" r:id="Re8f67bc2b9374fec"/>
    <x:sheet xmlns:r="http://schemas.openxmlformats.org/officeDocument/2006/relationships" name="01_Sources" sheetId="2" r:id="R58dce0e16ec14b58"/>
    <x:sheet xmlns:r="http://schemas.openxmlformats.org/officeDocument/2006/relationships" name="02_Raw_Financials" sheetId="3" r:id="R7bf40ae4cf42403c"/>
    <x:sheet xmlns:r="http://schemas.openxmlformats.org/officeDocument/2006/relationships" name="03_Historical_Analysis" sheetId="4" r:id="R5c0990cd662546ee"/>
    <x:sheet xmlns:r="http://schemas.openxmlformats.org/officeDocument/2006/relationships" name="04_Industry_Data" sheetId="5" r:id="R3f3a90dbf1094fbb"/>
    <x:sheet xmlns:r="http://schemas.openxmlformats.org/officeDocument/2006/relationships" name="05_Assumptions" sheetId="6" r:id="R015683576b7e4f31"/>
    <x:sheet xmlns:r="http://schemas.openxmlformats.org/officeDocument/2006/relationships" name="06_Schedules" sheetId="7" r:id="Red74f69f78cd489f"/>
    <x:sheet xmlns:r="http://schemas.openxmlformats.org/officeDocument/2006/relationships" name="07_Income_Statement" sheetId="8" r:id="R95f16417d3df4bcc"/>
    <x:sheet xmlns:r="http://schemas.openxmlformats.org/officeDocument/2006/relationships" name="08_Balance_Sheet" sheetId="9" r:id="Rcc15fffd243549a2"/>
    <x:sheet xmlns:r="http://schemas.openxmlformats.org/officeDocument/2006/relationships" name="09_Cash_Flow" sheetId="10" r:id="R9eb71abb3e2a4d11"/>
    <x:sheet xmlns:r="http://schemas.openxmlformats.org/officeDocument/2006/relationships" name="10_DCF" sheetId="11" r:id="R52fe722bc5924f68"/>
    <x:sheet xmlns:r="http://schemas.openxmlformats.org/officeDocument/2006/relationships" name="11_Reverse_DCF" sheetId="12" r:id="Rbdcbb94f801848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.0;(#,##0.0);&quot;-&quot;"/>
    <x:numFmt numFmtId="201" formatCode="0.0%;(0.0%);&quot;-&quot;"/>
    <x:numFmt numFmtId="202" formatCode="#,##0.0"/>
    <x:numFmt numFmtId="203" formatCode="0.00"/>
    <x:numFmt numFmtId="204" formatCode="dd-mmm-yyyy"/>
    <x:numFmt numFmtId="205" formatCode="0.000x"/>
    <x:numFmt numFmtId="206" formatCode="0.00;(0.00);&quot;-&quot;"/>
    <x:numFmt numFmtId="207" formatCode="0.0%"/>
    <x:numFmt numFmtId="208" formatCode="0.00%"/>
  </x:numFmts>
  <x:fonts count="17">
    <x:font>
      <x:sz val="11"/>
      <x:name val="Carlito"/>
    </x:font>
    <x:font>
      <x:sz val="10"/>
      <x:color rgb="FF000000"/>
      <x:name val="Arial"/>
    </x:font>
    <x:font>
      <x:b/>
      <x:sz val="15"/>
      <x:color rgb="FFFFFFFF"/>
      <x:name val="Arial"/>
    </x:font>
    <x:font>
      <x:sz val="10"/>
      <x:color rgb="FF555555"/>
      <x:name val="Arial"/>
    </x:font>
    <x:font>
      <x:b/>
      <x:sz val="10"/>
      <x:color rgb="FFFFFFFF"/>
      <x:name val="Arial"/>
    </x:font>
    <x:font>
      <x:b/>
      <x:sz val="11"/>
      <x:color rgb="FFFFFFFF"/>
      <x:name val="Carlito"/>
    </x:font>
    <x:font>
      <x:b/>
      <x:sz val="10"/>
      <x:color rgb="FF000000"/>
      <x:name val="Arial"/>
    </x:font>
    <x:font>
      <x:b/>
      <x:sz val="11"/>
      <x:color rgb="FF000000"/>
      <x:name val="Carlito"/>
    </x:font>
    <x:font>
      <x:sz val="10"/>
      <x:color rgb="FF0000FF"/>
      <x:name val="Arial"/>
    </x:font>
    <x:font>
      <x:b/>
      <x:sz val="10"/>
      <x:color rgb="FF0000FF"/>
      <x:name val="Arial"/>
    </x:font>
    <x:font>
      <x:sz val="10"/>
      <x:color rgb="FF008000"/>
      <x:name val="Arial"/>
    </x:font>
    <x:font>
      <x:sz val="11"/>
      <x:color rgb="FF0000FF"/>
      <x:name val="Carlito"/>
    </x:font>
    <x:font>
      <x:b/>
      <x:sz val="11"/>
      <x:color rgb="FF0000FF"/>
      <x:name val="Carlito"/>
    </x:font>
    <x:font>
      <x:b/>
      <x:sz val="15"/>
      <x:color rgb="FF008000"/>
      <x:name val="Arial"/>
    </x:font>
    <x:font>
      <x:sz val="11"/>
      <x:color rgb="FF008000"/>
      <x:name val="Carlito"/>
    </x:font>
    <x:font>
      <x:b/>
      <x:sz val="10"/>
      <x:color rgb="FF008000"/>
      <x:name val="Arial"/>
    </x:font>
    <x:font>
      <x:b/>
      <x:sz val="11"/>
      <x:color rgb="FF008000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2F343B"/>
      </x:patternFill>
    </x:fill>
    <x:fill>
      <x:patternFill patternType="solid">
        <x:fgColor rgb="FF3F6B60"/>
      </x:patternFill>
    </x:fill>
    <x:fill>
      <x:patternFill patternType="solid">
        <x:fgColor rgb="FFE8EFEC"/>
      </x:patternFill>
    </x:fill>
    <x:fill>
      <x:patternFill patternType="solid">
        <x:fgColor rgb="FF2F343B"/>
      </x:patternFill>
    </x:fill>
    <x:fill>
      <x:patternFill patternType="solid">
        <x:fgColor rgb="FF3F6B60"/>
      </x:patternFill>
    </x:fill>
    <x:fill>
      <x:patternFill patternType="solid">
        <x:fgColor rgb="FFE8EFEC"/>
      </x:patternFill>
    </x:fill>
    <x:fill>
      <x:patternFill patternType="solid">
        <x:fgColor rgb="FF2F343B"/>
      </x:patternFill>
    </x:fill>
    <x:fill>
      <x:patternFill patternType="solid">
        <x:fgColor rgb="FF3F6B60"/>
      </x:patternFill>
    </x:fill>
    <x:fill>
      <x:patternFill patternType="solid">
        <x:fgColor rgb="FFE8EFEC"/>
      </x:patternFill>
    </x:fill>
    <x:fill>
      <x:patternFill patternType="solid">
        <x:fgColor rgb="FFE8EFEC"/>
      </x:patternFill>
    </x:fill>
    <x:fill>
      <x:patternFill patternType="solid">
        <x:fgColor rgb="FFE8EFEC"/>
      </x:patternFill>
    </x:fill>
  </x:fills>
  <x:borders count="2">
    <x:border/>
    <x:border>
      <x:top style="thin">
        <x:color rgb="FFA8B1AE"/>
      </x:top>
    </x:border>
  </x:borders>
  <x:cellStyleXfs count="1">
    <x:xf numFmtId="0" fontId="0" fillId="0" borderId="0"/>
  </x:cellStyleXfs>
  <x:cellXfs count="112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 applyAlignment="1">
      <x:alignment horizontal="right"/>
    </x:xf>
    <x:xf numFmtId="200" fontId="0" fillId="4" borderId="0" xfId="0" applyNumberFormat="1" applyFont="1" applyFill="1" applyBorder="1" applyAlignment="1">
      <x:alignment horizontal="right"/>
    </x:xf>
    <x:xf numFmtId="0" fontId="6" fillId="4" borderId="0" xfId="0" applyNumberFormat="1" applyFont="1" applyFill="1" applyBorder="1"/>
    <x:xf numFmtId="200" fontId="6" fillId="4" borderId="0" xfId="0" applyNumberFormat="1" applyFont="1" applyFill="1" applyBorder="1" applyAlignment="1">
      <x:alignment horizontal="right"/>
    </x:xf>
    <x:xf numFmtId="200" fontId="7" fillId="4" borderId="0" xfId="0" applyNumberFormat="1" applyFont="1" applyFill="1" applyBorder="1" applyAlignment="1">
      <x:alignment horizontal="right"/>
    </x:xf>
    <x:xf numFmtId="0" fontId="6" fillId="4" borderId="0" xfId="0" applyNumberFormat="1" applyFont="1" applyFill="1" applyBorder="1" applyAlignment="1">
      <x:alignment horizontal="left"/>
    </x:xf>
    <x:xf numFmtId="200" fontId="6" fillId="4" borderId="0" xfId="0" applyNumberFormat="1" applyFont="1" applyFill="1" applyBorder="1" applyAlignment="1">
      <x:alignment horizontal="left"/>
    </x:xf>
    <x:xf numFmtId="200" fontId="7" fillId="4" borderId="0" xfId="0" applyNumberFormat="1" applyFont="1" applyFill="1" applyBorder="1" applyAlignment="1">
      <x:alignment horizontal="left"/>
    </x:xf>
    <x:xf numFmtId="200" fontId="8" fillId="0" borderId="0" xfId="0" applyNumberFormat="1" applyFont="1" applyFill="1" applyBorder="1" applyAlignment="1">
      <x:alignment horizontal="right"/>
    </x:xf>
    <x:xf numFmtId="200" fontId="9" fillId="4" borderId="0" xfId="0" applyNumberFormat="1" applyFont="1" applyFill="1" applyBorder="1" applyAlignment="1">
      <x:alignment horizontal="left"/>
    </x:xf>
    <x:xf numFmtId="200" fontId="10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201" fontId="10" fillId="0" borderId="0" xfId="0" applyNumberFormat="1" applyFont="1" applyFill="1" applyBorder="1" applyAlignment="1">
      <x:alignment horizontal="right"/>
    </x:xf>
    <x:xf numFmtId="200" fontId="11" fillId="0" borderId="0" xfId="0" applyNumberFormat="1" applyFont="1" applyFill="1" applyBorder="1" applyAlignment="1">
      <x:alignment horizontal="right"/>
    </x:xf>
    <x:xf numFmtId="200" fontId="12" fillId="4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/>
    </x:xf>
    <x:xf numFmtId="200" fontId="1" fillId="0" borderId="0" xfId="0" applyNumberFormat="1" applyFont="1" applyFill="1" applyBorder="1" applyAlignment="1">
      <x:alignment horizontal="left"/>
    </x:xf>
    <x:xf numFmtId="0" fontId="4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left"/>
    </x:xf>
    <x:xf numFmtId="201" fontId="8" fillId="0" borderId="0" xfId="0" applyNumberFormat="1" applyFont="1" applyFill="1" applyBorder="1" applyAlignment="1">
      <x:alignment horizontal="right"/>
    </x:xf>
    <x:xf numFmtId="201" fontId="11" fillId="0" borderId="0" xfId="0" applyNumberFormat="1" applyFont="1" applyFill="1" applyBorder="1" applyAlignment="1">
      <x:alignment horizontal="right"/>
    </x:xf>
    <x:xf numFmtId="202" fontId="8" fillId="0" borderId="0" xfId="0" applyNumberFormat="1" applyFont="1" applyFill="1" applyBorder="1" applyAlignment="1">
      <x:alignment horizontal="right"/>
    </x:xf>
    <x:xf numFmtId="202" fontId="1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0" fontId="13" fillId="2" borderId="0" xfId="0" applyNumberFormat="1" applyFont="1" applyFill="1" applyBorder="1"/>
    <x:xf numFmtId="0" fontId="14" fillId="0" borderId="0" xfId="0" applyNumberFormat="1" applyFont="1" applyFill="1" applyBorder="1"/>
    <x:xf numFmtId="0" fontId="10" fillId="0" borderId="0" xfId="0" applyNumberFormat="1" applyFont="1" applyFill="1" applyBorder="1"/>
    <x:xf numFmtId="0" fontId="15" fillId="3" borderId="0" xfId="0" applyNumberFormat="1" applyFont="1" applyFill="1" applyBorder="1" applyAlignment="1">
      <x:alignment horizontal="center"/>
    </x:xf>
    <x:xf numFmtId="0" fontId="16" fillId="3" borderId="0" xfId="0" applyNumberFormat="1" applyFont="1" applyFill="1" applyBorder="1" applyAlignment="1">
      <x:alignment horizontal="center"/>
    </x:xf>
    <x:xf numFmtId="200" fontId="14" fillId="0" borderId="0" xfId="0" applyNumberFormat="1" applyFont="1" applyFill="1" applyBorder="1" applyAlignment="1">
      <x:alignment horizontal="right"/>
    </x:xf>
    <x:xf numFmtId="200" fontId="15" fillId="4" borderId="0" xfId="0" applyNumberFormat="1" applyFont="1" applyFill="1" applyBorder="1" applyAlignment="1">
      <x:alignment horizontal="left"/>
    </x:xf>
    <x:xf numFmtId="200" fontId="16" fillId="4" borderId="0" xfId="0" applyNumberFormat="1" applyFont="1" applyFill="1" applyBorder="1" applyAlignment="1">
      <x:alignment horizontal="left"/>
    </x:xf>
    <x:xf numFmtId="0" fontId="1" fillId="5" borderId="0" xfId="0" applyNumberFormat="1" applyFont="1" applyFill="1" applyBorder="1"/>
    <x:xf numFmtId="0" fontId="2" fillId="5" borderId="0" xfId="0" applyNumberFormat="1" applyFont="1" applyFill="1" applyBorder="1"/>
    <x:xf numFmtId="0" fontId="1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/>
    <x:xf numFmtId="200" fontId="1" fillId="7" borderId="0" xfId="0" applyNumberFormat="1" applyFont="1" applyFill="1" applyBorder="1" applyAlignment="1">
      <x:alignment horizontal="right"/>
    </x:xf>
    <x:xf numFmtId="0" fontId="6" fillId="7" borderId="0" xfId="0" applyNumberFormat="1" applyFont="1" applyFill="1" applyBorder="1"/>
    <x:xf numFmtId="200" fontId="6" fillId="7" borderId="0" xfId="0" applyNumberFormat="1" applyFont="1" applyFill="1" applyBorder="1" applyAlignment="1">
      <x:alignment horizontal="right"/>
    </x:xf>
    <x:xf numFmtId="200" fontId="9" fillId="7" borderId="0" xfId="0" applyNumberFormat="1" applyFont="1" applyFill="1" applyBorder="1" applyAlignment="1">
      <x:alignment horizontal="right"/>
    </x:xf>
    <x:xf numFmtId="200" fontId="3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horizontal="right" wrapText="1"/>
    </x:xf>
    <x:xf numFmtId="203" fontId="8" fillId="0" borderId="0" xfId="0" applyNumberFormat="1" applyFont="1" applyFill="1" applyBorder="1" applyAlignment="1">
      <x:alignment horizontal="right"/>
    </x:xf>
    <x:xf numFmtId="204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203" fontId="10" fillId="0" borderId="0" xfId="0" applyNumberFormat="1" applyFont="1" applyFill="1" applyBorder="1" applyAlignment="1">
      <x:alignment horizontal="right"/>
    </x:xf>
    <x:xf numFmtId="205" fontId="1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 wrapText="1"/>
    </x:xf>
    <x:xf numFmtId="200" fontId="1" fillId="0" borderId="0" xfId="0" applyNumberFormat="1" applyFont="1" applyFill="1" applyBorder="1" applyAlignment="1">
      <x:alignment horizontal="left" wrapText="1"/>
    </x:xf>
    <x:xf numFmtId="0" fontId="4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204" fontId="10" fillId="0" borderId="0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/>
    <x:xf numFmtId="200" fontId="9" fillId="0" borderId="0" xfId="0" applyNumberFormat="1" applyFont="1" applyFill="1" applyBorder="1" applyAlignment="1">
      <x:alignment horizontal="right"/>
    </x:xf>
    <x:xf numFmtId="200" fontId="9" fillId="0" borderId="1" xfId="0" applyNumberFormat="1" applyFont="1" applyFill="1" applyBorder="1" applyAlignment="1">
      <x:alignment horizontal="right"/>
    </x:xf>
    <x:xf numFmtId="200" fontId="6" fillId="0" borderId="0" xfId="0" applyNumberFormat="1" applyFont="1" applyFill="1" applyBorder="1" applyAlignment="1">
      <x:alignment horizontal="right"/>
    </x:xf>
    <x:xf numFmtId="200" fontId="6" fillId="0" borderId="1" xfId="0" applyNumberFormat="1" applyFont="1" applyFill="1" applyBorder="1" applyAlignment="1">
      <x:alignment horizontal="right"/>
    </x:xf>
    <x:xf numFmtId="200" fontId="15" fillId="0" borderId="0" xfId="0" applyNumberFormat="1" applyFont="1" applyFill="1" applyBorder="1" applyAlignment="1">
      <x:alignment horizontal="right"/>
    </x:xf>
    <x:xf numFmtId="200" fontId="15" fillId="0" borderId="1" xfId="0" applyNumberFormat="1" applyFont="1" applyFill="1" applyBorder="1" applyAlignment="1">
      <x:alignment horizontal="right"/>
    </x:xf>
    <x:xf numFmtId="203" fontId="6" fillId="0" borderId="0" xfId="0" applyNumberFormat="1" applyFont="1" applyFill="1" applyBorder="1" applyAlignment="1">
      <x:alignment horizontal="right"/>
    </x:xf>
    <x:xf numFmtId="203" fontId="6" fillId="0" borderId="1" xfId="0" applyNumberFormat="1" applyFont="1" applyFill="1" applyBorder="1" applyAlignment="1">
      <x:alignment horizontal="right"/>
    </x:xf>
    <x:xf numFmtId="201" fontId="15" fillId="0" borderId="0" xfId="0" applyNumberFormat="1" applyFont="1" applyFill="1" applyBorder="1" applyAlignment="1">
      <x:alignment horizontal="right"/>
    </x:xf>
    <x:xf numFmtId="201" fontId="15" fillId="0" borderId="1" xfId="0" applyNumberFormat="1" applyFont="1" applyFill="1" applyBorder="1" applyAlignment="1">
      <x:alignment horizontal="right"/>
    </x:xf>
    <x:xf numFmtId="206" fontId="10" fillId="0" borderId="0" xfId="0" applyNumberFormat="1" applyFont="1" applyFill="1" applyBorder="1" applyAlignment="1">
      <x:alignment horizontal="right"/>
    </x:xf>
    <x:xf numFmtId="206" fontId="1" fillId="0" borderId="0" xfId="0" applyNumberFormat="1" applyFont="1" applyFill="1" applyBorder="1" applyAlignment="1">
      <x:alignment horizontal="right"/>
    </x:xf>
    <x:xf numFmtId="0" fontId="1" fillId="8" borderId="0" xfId="0" applyNumberFormat="1" applyFont="1" applyFill="1" applyBorder="1"/>
    <x:xf numFmtId="0" fontId="2" fillId="8" borderId="0" xfId="0" applyNumberFormat="1" applyFont="1" applyFill="1" applyBorder="1"/>
    <x:xf numFmtId="0" fontId="1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/>
    <x:xf numFmtId="200" fontId="1" fillId="10" borderId="0" xfId="0" applyNumberFormat="1" applyFont="1" applyFill="1" applyBorder="1" applyAlignment="1">
      <x:alignment horizontal="right"/>
    </x:xf>
    <x:xf numFmtId="0" fontId="6" fillId="10" borderId="0" xfId="0" applyNumberFormat="1" applyFont="1" applyFill="1" applyBorder="1"/>
    <x:xf numFmtId="200" fontId="6" fillId="10" borderId="0" xfId="0" applyNumberFormat="1" applyFont="1" applyFill="1" applyBorder="1" applyAlignment="1">
      <x:alignment horizontal="right"/>
    </x:xf>
    <x:xf numFmtId="200" fontId="9" fillId="10" borderId="0" xfId="0" applyNumberFormat="1" applyFont="1" applyFill="1" applyBorder="1" applyAlignment="1">
      <x:alignment horizontal="right"/>
    </x:xf>
    <x:xf numFmtId="0" fontId="4" fillId="10" borderId="0" xfId="0" applyNumberFormat="1" applyFont="1" applyFill="1" applyBorder="1" applyAlignment="1">
      <x:alignment horizontal="center"/>
    </x:xf>
    <x:xf numFmtId="0" fontId="6" fillId="10" borderId="0" xfId="0" applyNumberFormat="1" applyFont="1" applyFill="1" applyBorder="1" applyAlignment="1">
      <x:alignment horizontal="center"/>
    </x:xf>
    <x:xf numFmtId="0" fontId="1" fillId="11" borderId="0" xfId="0" applyNumberFormat="1" applyFont="1" applyFill="1" applyBorder="1"/>
    <x:xf numFmtId="200" fontId="1" fillId="11" borderId="0" xfId="0" applyNumberFormat="1" applyFont="1" applyFill="1" applyBorder="1" applyAlignment="1">
      <x:alignment horizontal="right"/>
    </x:xf>
    <x:xf numFmtId="0" fontId="6" fillId="11" borderId="0" xfId="0" applyNumberFormat="1" applyFont="1" applyFill="1" applyBorder="1"/>
    <x:xf numFmtId="200" fontId="6" fillId="11" borderId="0" xfId="0" applyNumberFormat="1" applyFont="1" applyFill="1" applyBorder="1" applyAlignment="1">
      <x:alignment horizontal="right"/>
    </x:xf>
    <x:xf numFmtId="200" fontId="8" fillId="0" borderId="0" xfId="0" applyNumberFormat="1" applyFont="1" applyFill="1" applyBorder="1" applyAlignment="1">
      <x:alignment horizontal="right" wrapText="1"/>
    </x:xf>
    <x:xf numFmtId="207" fontId="1" fillId="0" borderId="0" xfId="0" applyNumberFormat="1" applyFont="1" applyFill="1" applyBorder="1" applyAlignment="1">
      <x:alignment horizontal="right"/>
    </x:xf>
    <x:xf numFmtId="207" fontId="10" fillId="0" borderId="0" xfId="0" applyNumberFormat="1" applyFont="1" applyFill="1" applyBorder="1" applyAlignment="1">
      <x:alignment horizontal="right"/>
    </x:xf>
    <x:xf numFmtId="0" fontId="10" fillId="0" borderId="0" xfId="0" applyNumberFormat="1" applyFont="1" applyFill="1" applyBorder="1" applyAlignment="1">
      <x:alignment wrapText="1"/>
    </x:xf>
    <x:xf numFmtId="0" fontId="6" fillId="12" borderId="0" xfId="0" applyNumberFormat="1" applyFont="1" applyFill="1" applyBorder="1"/>
    <x:xf numFmtId="200" fontId="6" fillId="12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wrapText="1"/>
    </x:xf>
    <x:xf numFmtId="205" fontId="10" fillId="0" borderId="0" xfId="0" applyNumberFormat="1" applyFont="1" applyFill="1" applyBorder="1" applyAlignment="1">
      <x:alignment horizontal="right"/>
    </x:xf>
    <x:xf numFmtId="208" fontId="8" fillId="0" borderId="0" xfId="0" applyNumberFormat="1" applyFont="1" applyFill="1" applyBorder="1" applyAlignment="1">
      <x:alignment horizontal="right"/>
    </x:xf>
  </x:cellXfs>
  <x:cellStyles count="1">
    <x:cellStyle name="Normal" xfId="0"/>
  </x:cellStyles>
  <x:dxfs count="16">
    <x:dxf>
      <x:font>
        <x:b/>
        <x:color rgb="FF9C2222"/>
      </x:font>
      <x:fill>
        <x:patternFill>
          <x:bgColor rgb="FFFCE8E6"/>
        </x:patternFill>
      </x:fill>
    </x:dxf>
    <x:dxf>
      <x:font>
        <x:b/>
        <x:color rgb="FF9C2222"/>
      </x:font>
      <x:fill>
        <x:patternFill>
          <x:bgColor rgb="FFFCE8E6"/>
        </x:patternFill>
      </x:fill>
    </x:dxf>
    <x:dxf>
      <x:font>
        <x:b/>
        <x:color rgb="FF9C2222"/>
      </x:font>
      <x:fill>
        <x:patternFill>
          <x:bgColor rgb="FFFCE8E6"/>
        </x:patternFill>
      </x:fill>
    </x:dxf>
    <x:dxf>
      <x:font>
        <x:b/>
        <x:color rgb="FF9C2222"/>
      </x:font>
      <x:fill>
        <x:patternFill>
          <x:bgColor rgb="FFFCE8E6"/>
        </x:patternFill>
      </x:fill>
    </x:dxf>
    <x:dxf>
      <x:font>
        <x:b/>
        <x:color rgb="FF9C2222"/>
      </x:font>
      <x:fill>
        <x:patternFill>
          <x:bgColor rgb="FFFCE8E6"/>
        </x:patternFill>
      </x:fill>
    </x:dxf>
    <x:dxf>
      <x:font>
        <x:b/>
        <x:color rgb="FF9C2222"/>
      </x:font>
      <x:fill>
        <x:patternFill>
          <x:bgColor rgb="FFFCE8E6"/>
        </x:patternFill>
      </x:fill>
    </x:dxf>
    <x:dxf>
      <x:font>
        <x:b/>
        <x:color rgb="FF9C2222"/>
      </x:font>
      <x:fill>
        <x:patternFill>
          <x:bgColor rgb="FFFCE8E6"/>
        </x:patternFill>
      </x:fill>
    </x:dxf>
    <x:dxf>
      <x:font>
        <x:b/>
        <x:color rgb="FF9C2222"/>
      </x:font>
      <x:fill>
        <x:patternFill>
          <x:bgColor rgb="FFFCE8E6"/>
        </x:patternFill>
      </x:fill>
    </x:dxf>
    <x:dxf>
      <x:font>
        <x:b/>
        <x:color rgb="FF9C2222"/>
      </x:font>
      <x:fill>
        <x:patternFill>
          <x:bgColor rgb="FFFCE8E6"/>
        </x:patternFill>
      </x:fill>
    </x:dxf>
    <x:dxf>
      <x:font>
        <x:b/>
        <x:color rgb="FF9C2222"/>
      </x:font>
      <x:fill>
        <x:patternFill>
          <x:bgColor rgb="FFFCE8E6"/>
        </x:patternFill>
      </x:fill>
    </x:dxf>
    <x:dxf>
      <x:font>
        <x:b/>
        <x:color rgb="FF9C2222"/>
      </x:font>
      <x:fill>
        <x:patternFill>
          <x:bgColor rgb="FFFCE8E6"/>
        </x:patternFill>
      </x:fill>
    </x:dxf>
    <x:dxf>
      <x:font>
        <x:b/>
        <x:color rgb="FF9C2222"/>
      </x:font>
      <x:fill>
        <x:patternFill>
          <x:bgColor rgb="FFFCE8E6"/>
        </x:patternFill>
      </x:fill>
    </x:dxf>
    <x:dxf>
      <x:font>
        <x:b/>
        <x:color rgb="FF9C2222"/>
      </x:font>
      <x:fill>
        <x:patternFill>
          <x:bgColor rgb="FFFCE8E6"/>
        </x:patternFill>
      </x:fill>
    </x:dxf>
    <x:dxf>
      <x:font>
        <x:b/>
        <x:color rgb="FF9C2222"/>
      </x:font>
      <x:fill>
        <x:patternFill>
          <x:bgColor rgb="FFFCE8E6"/>
        </x:patternFill>
      </x:fill>
    </x:dxf>
    <x:dxf>
      <x:font>
        <x:b/>
        <x:color rgb="FF9C2222"/>
      </x:font>
      <x:fill>
        <x:patternFill>
          <x:bgColor rgb="FFFCE8E6"/>
        </x:patternFill>
      </x:fill>
    </x:dxf>
    <x:dxf>
      <x:font>
        <x:b/>
        <x:color rgb="FF9C2222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9e036e14fc4edb" /><Relationship Type="http://schemas.openxmlformats.org/officeDocument/2006/relationships/theme" Target="/xl/theme/theme1.xml" Id="Rac23117412c64ce7" /><Relationship Type="http://schemas.openxmlformats.org/officeDocument/2006/relationships/sharedStrings" Target="/xl/sharedStrings.xml" Id="R965f2c92bd2048f0" /><Relationship Type="http://schemas.openxmlformats.org/officeDocument/2006/relationships/worksheet" Target="/xl/worksheets/sheet1.xml" Id="Re8f67bc2b9374fec" /><Relationship Type="http://schemas.openxmlformats.org/officeDocument/2006/relationships/worksheet" Target="/xl/worksheets/sheet2.xml" Id="R58dce0e16ec14b58" /><Relationship Type="http://schemas.openxmlformats.org/officeDocument/2006/relationships/worksheet" Target="/xl/worksheets/sheet3.xml" Id="R7bf40ae4cf42403c" /><Relationship Type="http://schemas.openxmlformats.org/officeDocument/2006/relationships/worksheet" Target="/xl/worksheets/sheet4.xml" Id="R5c0990cd662546ee" /><Relationship Type="http://schemas.openxmlformats.org/officeDocument/2006/relationships/worksheet" Target="/xl/worksheets/sheet5.xml" Id="R3f3a90dbf1094fbb" /><Relationship Type="http://schemas.openxmlformats.org/officeDocument/2006/relationships/worksheet" Target="/xl/worksheets/sheet6.xml" Id="R015683576b7e4f31" /><Relationship Type="http://schemas.openxmlformats.org/officeDocument/2006/relationships/worksheet" Target="/xl/worksheets/sheet7.xml" Id="Red74f69f78cd489f" /><Relationship Type="http://schemas.openxmlformats.org/officeDocument/2006/relationships/worksheet" Target="/xl/worksheets/sheet8.xml" Id="R95f16417d3df4bcc" /><Relationship Type="http://schemas.openxmlformats.org/officeDocument/2006/relationships/worksheet" Target="/xl/worksheets/sheet9.xml" Id="Rcc15fffd243549a2" /><Relationship Type="http://schemas.openxmlformats.org/officeDocument/2006/relationships/worksheet" Target="/xl/worksheets/sheet10.xml" Id="R9eb71abb3e2a4d11" /><Relationship Type="http://schemas.openxmlformats.org/officeDocument/2006/relationships/worksheet" Target="/xl/worksheets/sheet11.xml" Id="R52fe722bc5924f68" /><Relationship Type="http://schemas.openxmlformats.org/officeDocument/2006/relationships/worksheet" Target="/xl/worksheets/sheet12.xml" Id="Rbdcbb94f80184865" /></Relationships>
</file>

<file path=xl/theme/theme1.xml><?xml version="1.0" encoding="utf-8"?>
<a:theme xmlns:a="http://schemas.openxmlformats.org/drawingml/2006/main" name="Pricol">
  <a:themeElements>
    <a:clrScheme name="Pricol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Pricol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F343B"/>
  </x:sheetPr>
  <x:sheetViews>
    <x:sheetView showGridLines="0" workbookViewId="0"/>
  </x:sheetViews>
  <x:sheetFormatPr defaultRowHeight="15"/>
  <x:cols>
    <x:col min="1" max="1" width="46" hidden="0" customWidth="1"/>
    <x:col min="2" max="2" width="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8" customHeight="1">
      <x:c r="A1" s="88" t="str">
        <x:v>Pricol Equity Research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</x:row>
    <x:row r="2" ht="19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9" customHeight="1">
      <x:c r="A3" s="1" t="str">
        <x:v>Pricol Limited | Consolidated | INR crore, except per-share data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19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19" customHeight="1">
      <x:c r="A5" s="98" t="str">
        <x:v>Scope</x:v>
      </x:c>
      <x:c r="B5" s="98"/>
      <x:c r="C5" s="98"/>
      <x:c r="D5" s="98"/>
      <x:c r="E5" s="98"/>
      <x:c r="F5" s="98"/>
      <x:c r="G5" s="98"/>
      <x:c r="H5" s="91"/>
      <x:c r="I5" s="91"/>
      <x:c r="J5" s="91"/>
      <x:c r="K5" s="91"/>
      <x:c r="L5" s="91"/>
    </x:row>
    <x:row r="6" ht="19" customHeight="1">
      <x:c r="A6" s="1"/>
      <x:c r="B6" s="1"/>
      <x:c r="C6" s="4"/>
      <x:c r="D6" s="4"/>
      <x:c r="E6" s="4"/>
      <x:c r="F6" s="4"/>
      <x:c r="G6" s="4"/>
      <x:c r="H6" s="4"/>
      <x:c r="I6" s="4"/>
      <x:c r="J6" s="4"/>
      <x:c r="K6" s="4"/>
      <x:c r="L6" s="4"/>
    </x:row>
    <x:row r="7" ht="19" customHeight="1">
      <x:c r="A7" s="1" t="str">
        <x:v>Historical coverage</x:v>
      </x:c>
      <x:c r="B7" s="1"/>
      <x:c r="C7" s="4" t="str">
        <x:v>FY2022–FY2026</x:v>
      </x:c>
      <x:c r="D7" s="4"/>
      <x:c r="E7" s="4"/>
      <x:c r="F7" s="4"/>
      <x:c r="G7" s="4"/>
      <x:c r="H7" s="4"/>
      <x:c r="I7" s="4"/>
      <x:c r="J7" s="4"/>
      <x:c r="K7" s="4"/>
      <x:c r="L7" s="4"/>
    </x:row>
    <x:row r="8" ht="19" customHeight="1">
      <x:c r="A8" s="1" t="str">
        <x:v>Forecast horizon</x:v>
      </x:c>
      <x:c r="B8" s="1"/>
      <x:c r="C8" s="4" t="str">
        <x:v>FY2027–FY2031</x:v>
      </x:c>
      <x:c r="D8" s="4"/>
      <x:c r="E8" s="4"/>
      <x:c r="F8" s="4"/>
      <x:c r="G8" s="4"/>
      <x:c r="H8" s="4"/>
      <x:c r="I8" s="4"/>
      <x:c r="J8" s="4"/>
      <x:c r="K8" s="4"/>
      <x:c r="L8" s="4"/>
    </x:row>
    <x:row r="9" ht="19" customHeight="1">
      <x:c r="A9" s="1" t="str">
        <x:v>Valuation reference date</x:v>
      </x:c>
      <x:c r="B9" s="1"/>
      <x:c r="C9" s="65" t="n">
        <x:f>'05_Assumptions'!$G$38</x:f>
        <x:v>46112</x:v>
      </x:c>
      <x:c r="D9" s="4"/>
      <x:c r="E9" s="4"/>
      <x:c r="F9" s="4"/>
      <x:c r="G9" s="4"/>
      <x:c r="H9" s="4"/>
      <x:c r="I9" s="4"/>
      <x:c r="J9" s="4"/>
      <x:c r="K9" s="4"/>
      <x:c r="L9" s="4"/>
    </x:row>
    <x:row r="10" ht="19" customHeight="1">
      <x:c r="A10" s="1" t="str">
        <x:v>Information reviewed through</x:v>
      </x:c>
      <x:c r="B10" s="1"/>
      <x:c r="C10" s="65" t="n">
        <x:f>'05_Assumptions'!$G$39</x:f>
        <x:v>46284</x:v>
      </x:c>
      <x:c r="D10" s="4"/>
      <x:c r="E10" s="4"/>
      <x:c r="F10" s="4"/>
      <x:c r="G10" s="4"/>
      <x:c r="H10" s="4"/>
      <x:c r="I10" s="4"/>
      <x:c r="J10" s="4"/>
      <x:c r="K10" s="4"/>
      <x:c r="L10" s="4"/>
    </x:row>
    <x:row r="11" ht="19" customHeight="1">
      <x:c r="A11" s="1"/>
      <x:c r="B11" s="1"/>
      <x:c r="C11" s="4"/>
      <x:c r="D11" s="4"/>
      <x:c r="E11" s="4"/>
      <x:c r="F11" s="4"/>
      <x:c r="G11" s="4"/>
      <x:c r="H11" s="4"/>
      <x:c r="I11" s="4"/>
      <x:c r="J11" s="4"/>
      <x:c r="K11" s="4"/>
      <x:c r="L11" s="4"/>
    </x:row>
    <x:row r="12" ht="19" customHeight="1">
      <x:c r="A12" s="1"/>
      <x:c r="B12" s="1"/>
      <x:c r="C12" s="4"/>
      <x:c r="D12" s="4"/>
      <x:c r="E12" s="4"/>
      <x:c r="F12" s="4"/>
      <x:c r="G12" s="4"/>
      <x:c r="H12" s="4"/>
      <x:c r="I12" s="4"/>
      <x:c r="J12" s="4"/>
      <x:c r="K12" s="4"/>
      <x:c r="L12" s="4"/>
    </x:row>
    <x:row r="13" ht="19" customHeight="1">
      <x:c r="A13" s="94" t="str">
        <x:v>Valuation</x:v>
      </x:c>
      <x:c r="B13" s="94"/>
      <x:c r="C13" s="95"/>
      <x:c r="D13" s="95"/>
      <x:c r="E13" s="95"/>
      <x:c r="F13" s="95"/>
      <x:c r="G13" s="95"/>
      <x:c r="H13" s="4"/>
      <x:c r="I13" s="4"/>
      <x:c r="J13" s="4"/>
      <x:c r="K13" s="4"/>
      <x:c r="L13" s="4"/>
    </x:row>
    <x:row r="14" ht="19" customHeight="1">
      <x:c r="A14" s="1"/>
      <x:c r="B14" s="1"/>
      <x:c r="C14" s="4"/>
      <x:c r="D14" s="4"/>
      <x:c r="E14" s="4"/>
      <x:c r="F14" s="4"/>
      <x:c r="G14" s="4"/>
      <x:c r="H14" s="4"/>
      <x:c r="I14" s="4"/>
      <x:c r="J14" s="4"/>
      <x:c r="K14" s="4"/>
      <x:c r="L14" s="4"/>
    </x:row>
    <x:row r="15" ht="19" customHeight="1">
      <x:c r="A15" s="1" t="str">
        <x:v>DCF value per share (INR)</x:v>
      </x:c>
      <x:c r="B15" s="1"/>
      <x:c r="C15" s="66" t="n">
        <x:f>'10_DCF'!C35</x:f>
        <x:v>159.09906088776305</x:v>
      </x:c>
      <x:c r="D15" s="4"/>
      <x:c r="E15" s="4"/>
      <x:c r="F15" s="4"/>
      <x:c r="G15" s="4"/>
      <x:c r="H15" s="4"/>
      <x:c r="I15" s="4"/>
      <x:c r="J15" s="4"/>
      <x:c r="K15" s="4"/>
      <x:c r="L15" s="4"/>
    </x:row>
    <x:row r="16" ht="19" customHeight="1">
      <x:c r="A16" s="1" t="str">
        <x:v>Reference share price (INR)</x:v>
      </x:c>
      <x:c r="B16" s="1"/>
      <x:c r="C16" s="66" t="n">
        <x:f>'10_DCF'!C36</x:f>
        <x:v>766.75</x:v>
      </x:c>
      <x:c r="D16" s="4"/>
      <x:c r="E16" s="4"/>
      <x:c r="F16" s="4"/>
      <x:c r="G16" s="4"/>
      <x:c r="H16" s="4"/>
      <x:c r="I16" s="4"/>
      <x:c r="J16" s="4"/>
      <x:c r="K16" s="4"/>
      <x:c r="L16" s="4"/>
    </x:row>
    <x:row r="17" ht="19" customHeight="1">
      <x:c r="A17" s="1" t="str">
        <x:v>Value / reference price less one</x:v>
      </x:c>
      <x:c r="B17" s="1"/>
      <x:c r="C17" s="27" t="n">
        <x:f>'10_DCF'!C37</x:f>
        <x:v>-0.7925020399246651</x:v>
      </x:c>
      <x:c r="D17" s="4"/>
      <x:c r="E17" s="4"/>
      <x:c r="F17" s="4"/>
      <x:c r="G17" s="4"/>
      <x:c r="H17" s="4"/>
      <x:c r="I17" s="4"/>
      <x:c r="J17" s="4"/>
      <x:c r="K17" s="4"/>
      <x:c r="L17" s="4"/>
    </x:row>
    <x:row r="18" ht="19" customHeight="1">
      <x:c r="A18" s="1" t="str">
        <x:v>Implied FY2031 EBITDA margin</x:v>
      </x:c>
      <x:c r="B18" s="1"/>
      <x:c r="C18" s="27" t="n">
        <x:f>'11_Reverse_DCF'!C16</x:f>
        <x:v>0.32705087232537744</x:v>
      </x:c>
      <x:c r="D18" s="4"/>
      <x:c r="E18" s="4"/>
      <x:c r="F18" s="4"/>
      <x:c r="G18" s="4"/>
      <x:c r="H18" s="4"/>
      <x:c r="I18" s="4"/>
      <x:c r="J18" s="4"/>
      <x:c r="K18" s="4"/>
      <x:c r="L18" s="4"/>
    </x:row>
    <x:row r="19" ht="19" customHeight="1">
      <x:c r="A19" s="1" t="str">
        <x:v>Base FY2031 operating EBITDA margin</x:v>
      </x:c>
      <x:c r="B19" s="1"/>
      <x:c r="C19" s="27" t="n">
        <x:f>'05_Assumptions'!L10</x:f>
        <x:v>0.118</x:v>
      </x:c>
      <x:c r="D19" s="4"/>
      <x:c r="E19" s="4"/>
      <x:c r="F19" s="4"/>
      <x:c r="G19" s="4"/>
      <x:c r="H19" s="4"/>
      <x:c r="I19" s="4"/>
      <x:c r="J19" s="4"/>
      <x:c r="K19" s="4"/>
      <x:c r="L19" s="4"/>
    </x:row>
    <x:row r="20" ht="19" customHeight="1">
      <x:c r="A20" s="1"/>
      <x:c r="B20" s="1"/>
      <x:c r="C20" s="4"/>
      <x:c r="D20" s="4"/>
      <x:c r="E20" s="4"/>
      <x:c r="F20" s="4"/>
      <x:c r="G20" s="4"/>
      <x:c r="H20" s="4"/>
      <x:c r="I20" s="4"/>
      <x:c r="J20" s="4"/>
      <x:c r="K20" s="4"/>
      <x:c r="L20" s="4"/>
    </x:row>
    <x:row r="21" ht="19" customHeight="1">
      <x:c r="A21" s="1"/>
      <x:c r="B21" s="1"/>
      <x:c r="C21" s="4"/>
      <x:c r="D21" s="4"/>
      <x:c r="E21" s="4"/>
      <x:c r="F21" s="4"/>
      <x:c r="G21" s="4"/>
      <x:c r="H21" s="4"/>
      <x:c r="I21" s="4"/>
      <x:c r="J21" s="4"/>
      <x:c r="K21" s="4"/>
      <x:c r="L21" s="4"/>
    </x:row>
    <x:row r="22" ht="19" customHeight="1">
      <x:c r="A22" s="94" t="str">
        <x:v>Conventions</x:v>
      </x:c>
      <x:c r="B22" s="94"/>
      <x:c r="C22" s="95"/>
      <x:c r="D22" s="95"/>
      <x:c r="E22" s="95"/>
      <x:c r="F22" s="95"/>
      <x:c r="G22" s="95"/>
      <x:c r="H22" s="4"/>
      <x:c r="I22" s="4"/>
      <x:c r="J22" s="4"/>
      <x:c r="K22" s="4"/>
      <x:c r="L22" s="4"/>
    </x:row>
    <x:row r="23" ht="19" customHeight="1">
      <x:c r="A23" s="1"/>
      <x:c r="B23" s="1"/>
      <x:c r="C23" s="4"/>
      <x:c r="D23" s="4"/>
      <x:c r="E23" s="4"/>
      <x:c r="F23" s="4"/>
      <x:c r="G23" s="4"/>
      <x:c r="H23" s="4"/>
      <x:c r="I23" s="4"/>
      <x:c r="J23" s="4"/>
      <x:c r="K23" s="4"/>
      <x:c r="L23" s="4"/>
    </x:row>
    <x:row r="24" ht="19" customHeight="1">
      <x:c r="A24" s="1" t="str">
        <x:v>Blue numbers</x:v>
      </x:c>
      <x:c r="B24" s="1"/>
      <x:c r="C24" s="4" t="str">
        <x:v>Editable inputs</x:v>
      </x:c>
      <x:c r="D24" s="4"/>
      <x:c r="E24" s="4"/>
      <x:c r="F24" s="4"/>
      <x:c r="G24" s="4"/>
      <x:c r="H24" s="4"/>
      <x:c r="I24" s="4"/>
      <x:c r="J24" s="4"/>
      <x:c r="K24" s="4"/>
      <x:c r="L24" s="4"/>
    </x:row>
    <x:row r="25" ht="19" customHeight="1">
      <x:c r="A25" s="1" t="str">
        <x:v>Green numbers</x:v>
      </x:c>
      <x:c r="B25" s="1"/>
      <x:c r="C25" s="4" t="str">
        <x:v>Links to another worksheet</x:v>
      </x:c>
      <x:c r="D25" s="4"/>
      <x:c r="E25" s="4"/>
      <x:c r="F25" s="4"/>
      <x:c r="G25" s="4"/>
      <x:c r="H25" s="4"/>
      <x:c r="I25" s="4"/>
      <x:c r="J25" s="4"/>
      <x:c r="K25" s="4"/>
      <x:c r="L25" s="4"/>
    </x:row>
    <x:row r="26" ht="19" customHeight="1">
      <x:c r="A26" s="1" t="str">
        <x:v>Black numbers</x:v>
      </x:c>
      <x:c r="B26" s="1"/>
      <x:c r="C26" s="4" t="str">
        <x:v>Calculations / summary results</x:v>
      </x:c>
      <x:c r="D26" s="4"/>
      <x:c r="E26" s="4"/>
      <x:c r="F26" s="4"/>
      <x:c r="G26" s="4"/>
      <x:c r="H26" s="4"/>
      <x:c r="I26" s="4"/>
      <x:c r="J26" s="4"/>
      <x:c r="K26" s="4"/>
      <x:c r="L26" s="4"/>
    </x:row>
    <x:row r="27" ht="19" customHeight="1">
      <x:c r="A27" s="1" t="str">
        <x:v>Negative values</x:v>
      </x:c>
      <x:c r="B27" s="1"/>
      <x:c r="C27" s="4" t="str">
        <x:v>Shown in brackets</x:v>
      </x:c>
      <x:c r="D27" s="4"/>
      <x:c r="E27" s="4"/>
      <x:c r="F27" s="4"/>
      <x:c r="G27" s="4"/>
      <x:c r="H27" s="4"/>
      <x:c r="I27" s="4"/>
      <x:c r="J27" s="4"/>
      <x:c r="K27" s="4"/>
      <x:c r="L27" s="4"/>
    </x:row>
    <x:row r="28" ht="19" customHeight="1">
      <x:c r="A28" s="1"/>
      <x:c r="B28" s="1"/>
      <x:c r="C28" s="4"/>
      <x:c r="D28" s="4"/>
      <x:c r="E28" s="4"/>
      <x:c r="F28" s="4"/>
      <x:c r="G28" s="4"/>
      <x:c r="H28" s="4"/>
      <x:c r="I28" s="4"/>
      <x:c r="J28" s="4"/>
      <x:c r="K28" s="4"/>
      <x:c r="L28" s="4"/>
    </x:row>
    <x:row r="29" ht="19" customHeight="1">
      <x:c r="A29" s="1"/>
      <x:c r="B29" s="1"/>
      <x:c r="C29" s="4"/>
      <x:c r="D29" s="4"/>
      <x:c r="E29" s="4"/>
      <x:c r="F29" s="4"/>
      <x:c r="G29" s="4"/>
      <x:c r="H29" s="4"/>
      <x:c r="I29" s="4"/>
      <x:c r="J29" s="4"/>
      <x:c r="K29" s="4"/>
      <x:c r="L29" s="4"/>
    </x:row>
    <x:row r="30" ht="32" customHeight="1">
      <x:c r="A30" s="62" t="str">
        <x:v>The model uses FY2026 closing balances and later management commentary. The Screener reference price is undated; it is not presented as a live quote.</x:v>
      </x:c>
      <x:c r="B30" s="62"/>
      <x:c r="C30" s="63"/>
      <x:c r="D30" s="63"/>
      <x:c r="E30" s="63"/>
      <x:c r="F30" s="63"/>
      <x:c r="G30" s="63"/>
      <x:c r="H30" s="4"/>
      <x:c r="I30" s="4"/>
      <x:c r="J30" s="4"/>
      <x:c r="K30" s="4"/>
      <x:c r="L30" s="4"/>
    </x:row>
    <x:row r="31" ht="19" customHeight="1">
      <x:c r="A31" s="1"/>
      <x:c r="B31" s="1"/>
      <x:c r="C31" s="4"/>
      <x:c r="D31" s="4"/>
      <x:c r="E31" s="4"/>
      <x:c r="F31" s="4"/>
      <x:c r="G31" s="4"/>
      <x:c r="H31" s="4"/>
      <x:c r="I31" s="4"/>
      <x:c r="J31" s="4"/>
      <x:c r="K31" s="4"/>
      <x:c r="L31" s="4"/>
    </x:row>
    <x:row r="32" ht="19" customHeight="1">
      <x:c r="A32" s="1"/>
      <x:c r="B32" s="1"/>
      <x:c r="C32" s="4"/>
      <x:c r="D32" s="4"/>
      <x:c r="E32" s="4"/>
      <x:c r="F32" s="4"/>
      <x:c r="G32" s="4"/>
      <x:c r="H32" s="4"/>
      <x:c r="I32" s="4"/>
      <x:c r="J32" s="4"/>
      <x:c r="K32" s="4"/>
      <x:c r="L32" s="4"/>
    </x:row>
    <x:row r="33" ht="19" customHeight="1">
      <x:c r="A33" s="1"/>
      <x:c r="B33" s="1"/>
      <x:c r="C33" s="4"/>
      <x:c r="D33" s="4"/>
      <x:c r="E33" s="4"/>
      <x:c r="F33" s="4"/>
      <x:c r="G33" s="4"/>
      <x:c r="H33" s="4"/>
      <x:c r="I33" s="4"/>
      <x:c r="J33" s="4"/>
      <x:c r="K33" s="4"/>
      <x:c r="L33" s="4"/>
    </x:row>
    <x:row r="34" ht="19" customHeight="1">
      <x:c r="A34" s="1"/>
      <x:c r="B34" s="1"/>
      <x:c r="C34" s="4"/>
      <x:c r="D34" s="4"/>
      <x:c r="E34" s="4"/>
      <x:c r="F34" s="4"/>
      <x:c r="G34" s="4"/>
      <x:c r="H34" s="4"/>
      <x:c r="I34" s="4"/>
      <x:c r="J34" s="4"/>
      <x:c r="K34" s="4"/>
      <x:c r="L34" s="4"/>
    </x:row>
    <x:row r="35" ht="19" customHeight="1">
      <x:c r="A35" s="1"/>
      <x:c r="B35" s="1"/>
      <x:c r="C35" s="4"/>
      <x:c r="D35" s="4"/>
      <x:c r="E35" s="4"/>
      <x:c r="F35" s="4"/>
      <x:c r="G35" s="4"/>
      <x:c r="H35" s="4"/>
      <x:c r="I35" s="4"/>
      <x:c r="J35" s="4"/>
      <x:c r="K35" s="4"/>
      <x:c r="L35" s="4"/>
    </x:row>
    <x:row r="36" ht="19" customHeight="1">
      <x:c r="A36" s="1"/>
      <x:c r="B36" s="1"/>
      <x:c r="C36" s="4"/>
      <x:c r="D36" s="4"/>
      <x:c r="E36" s="4"/>
      <x:c r="F36" s="4"/>
      <x:c r="G36" s="4"/>
      <x:c r="H36" s="4"/>
      <x:c r="I36" s="4"/>
      <x:c r="J36" s="4"/>
      <x:c r="K36" s="4"/>
      <x:c r="L36" s="4"/>
    </x:row>
    <x:row r="37" ht="19" customHeight="1">
      <x:c r="A37" s="1"/>
      <x:c r="B37" s="1"/>
      <x:c r="C37" s="4"/>
      <x:c r="D37" s="4"/>
      <x:c r="E37" s="4"/>
      <x:c r="F37" s="4"/>
      <x:c r="G37" s="4"/>
      <x:c r="H37" s="4"/>
      <x:c r="I37" s="4"/>
      <x:c r="J37" s="4"/>
      <x:c r="K37" s="4"/>
      <x:c r="L37" s="4"/>
    </x:row>
    <x:row r="38" ht="19" customHeight="1">
      <x:c r="A38" s="1"/>
      <x:c r="B38" s="1"/>
      <x:c r="C38" s="4"/>
      <x:c r="D38" s="4"/>
      <x:c r="E38" s="4"/>
      <x:c r="F38" s="4"/>
      <x:c r="G38" s="4"/>
      <x:c r="H38" s="4"/>
      <x:c r="I38" s="4"/>
      <x:c r="J38" s="4"/>
      <x:c r="K38" s="4"/>
      <x:c r="L38" s="4"/>
    </x:row>
    <x:row r="39" ht="19" customHeight="1">
      <x:c r="A39" s="1"/>
      <x:c r="B39" s="1"/>
      <x:c r="C39" s="4"/>
      <x:c r="D39" s="4"/>
      <x:c r="E39" s="4"/>
      <x:c r="F39" s="4"/>
      <x:c r="G39" s="4"/>
      <x:c r="H39" s="4"/>
      <x:c r="I39" s="4"/>
      <x:c r="J39" s="4"/>
      <x:c r="K39" s="4"/>
      <x:c r="L39" s="4"/>
    </x:row>
    <x:row r="40" ht="19" customHeight="1">
      <x:c r="A40" s="1"/>
      <x:c r="B40" s="1"/>
      <x:c r="C40" s="4"/>
      <x:c r="D40" s="4"/>
      <x:c r="E40" s="4"/>
      <x:c r="F40" s="4"/>
      <x:c r="G40" s="4"/>
      <x:c r="H40" s="4"/>
      <x:c r="I40" s="4"/>
      <x:c r="J40" s="4"/>
      <x:c r="K40" s="4"/>
      <x:c r="L40" s="4"/>
    </x:row>
    <x:row r="41" ht="19" customHeight="1">
      <x:c r="A41" s="1"/>
      <x:c r="B41" s="1"/>
      <x:c r="C41" s="4"/>
      <x:c r="D41" s="4"/>
      <x:c r="E41" s="4"/>
      <x:c r="F41" s="4"/>
      <x:c r="G41" s="4"/>
      <x:c r="H41" s="4"/>
      <x:c r="I41" s="4"/>
      <x:c r="J41" s="4"/>
      <x:c r="K41" s="4"/>
      <x:c r="L41" s="4"/>
    </x:row>
    <x:row r="42" ht="19" customHeight="1">
      <x:c r="A42" s="1"/>
      <x:c r="B42" s="1"/>
      <x:c r="C42" s="4"/>
      <x:c r="D42" s="4"/>
      <x:c r="E42" s="4"/>
      <x:c r="F42" s="4"/>
      <x:c r="G42" s="4"/>
      <x:c r="H42" s="4"/>
      <x:c r="I42" s="4"/>
      <x:c r="J42" s="4"/>
      <x:c r="K42" s="4"/>
      <x:c r="L42" s="4"/>
    </x:row>
    <x:row r="43" ht="19" customHeight="1">
      <x:c r="A43" s="1"/>
      <x:c r="B43" s="1"/>
      <x:c r="C43" s="4"/>
      <x:c r="D43" s="4"/>
      <x:c r="E43" s="4"/>
      <x:c r="F43" s="4"/>
      <x:c r="G43" s="4"/>
      <x:c r="H43" s="4"/>
      <x:c r="I43" s="4"/>
      <x:c r="J43" s="4"/>
      <x:c r="K43" s="4"/>
      <x:c r="L43" s="4"/>
    </x:row>
    <x:row r="44" ht="19" customHeight="1">
      <x:c r="A44" s="1"/>
      <x:c r="B44" s="1"/>
      <x:c r="C44" s="4"/>
      <x:c r="D44" s="4"/>
      <x:c r="E44" s="4"/>
      <x:c r="F44" s="4"/>
      <x:c r="G44" s="4"/>
      <x:c r="H44" s="4"/>
      <x:c r="I44" s="4"/>
      <x:c r="J44" s="4"/>
      <x:c r="K44" s="4"/>
      <x:c r="L44" s="4"/>
    </x:row>
    <x:row r="45" ht="19" customHeight="1">
      <x:c r="A45" s="1"/>
      <x:c r="B45" s="1"/>
      <x:c r="C45" s="4"/>
      <x:c r="D45" s="4"/>
      <x:c r="E45" s="4"/>
      <x:c r="F45" s="4"/>
      <x:c r="G45" s="4"/>
      <x:c r="H45" s="4"/>
      <x:c r="I45" s="4"/>
      <x:c r="J45" s="4"/>
      <x:c r="K45" s="4"/>
      <x:c r="L45" s="4"/>
    </x:row>
    <x:row r="46" ht="19" customHeight="1">
      <x:c r="A46" s="1"/>
      <x:c r="B46" s="1"/>
      <x:c r="C46" s="4"/>
      <x:c r="D46" s="4"/>
      <x:c r="E46" s="4"/>
      <x:c r="F46" s="4"/>
      <x:c r="G46" s="4"/>
      <x:c r="H46" s="4"/>
      <x:c r="I46" s="4"/>
      <x:c r="J46" s="4"/>
      <x:c r="K46" s="4"/>
      <x:c r="L46" s="4"/>
    </x:row>
    <x:row r="47" ht="19" customHeight="1">
      <x:c r="A47" s="1"/>
      <x:c r="B47" s="1"/>
      <x:c r="C47" s="4"/>
      <x:c r="D47" s="4"/>
      <x:c r="E47" s="4"/>
      <x:c r="F47" s="4"/>
      <x:c r="G47" s="4"/>
      <x:c r="H47" s="4"/>
      <x:c r="I47" s="4"/>
      <x:c r="J47" s="4"/>
      <x:c r="K47" s="4"/>
      <x:c r="L47" s="4"/>
    </x:row>
    <x:row r="48" ht="19" customHeight="1">
      <x:c r="A48" s="1"/>
      <x:c r="B48" s="1"/>
      <x:c r="C48" s="4"/>
      <x:c r="D48" s="4"/>
      <x:c r="E48" s="4"/>
      <x:c r="F48" s="4"/>
      <x:c r="G48" s="4"/>
      <x:c r="H48" s="4"/>
      <x:c r="I48" s="4"/>
      <x:c r="J48" s="4"/>
      <x:c r="K48" s="4"/>
      <x:c r="L48" s="4"/>
    </x:row>
    <x:row r="49" ht="19" customHeight="1">
      <x:c r="A49" s="1"/>
      <x:c r="B49" s="1"/>
      <x:c r="C49" s="4"/>
      <x:c r="D49" s="4"/>
      <x:c r="E49" s="4"/>
      <x:c r="F49" s="4"/>
      <x:c r="G49" s="4"/>
      <x:c r="H49" s="4"/>
      <x:c r="I49" s="4"/>
      <x:c r="J49" s="4"/>
      <x:c r="K49" s="4"/>
      <x:c r="L49" s="4"/>
    </x:row>
    <x:row r="50" ht="19" customHeight="1">
      <x:c r="A50" s="1"/>
      <x:c r="B50" s="1"/>
      <x:c r="C50" s="4"/>
      <x:c r="D50" s="4"/>
      <x:c r="E50" s="4"/>
      <x:c r="F50" s="4"/>
      <x:c r="G50" s="4"/>
      <x:c r="H50" s="4"/>
      <x:c r="I50" s="4"/>
      <x:c r="J50" s="4"/>
      <x:c r="K50" s="4"/>
      <x:c r="L50" s="4"/>
    </x:row>
    <x:row r="51" ht="19" customHeight="1">
      <x:c r="A51" s="1"/>
      <x:c r="B51" s="1"/>
      <x:c r="C51" s="4"/>
      <x:c r="D51" s="4"/>
      <x:c r="E51" s="4"/>
      <x:c r="F51" s="4"/>
      <x:c r="G51" s="4"/>
      <x:c r="H51" s="4"/>
      <x:c r="I51" s="4"/>
      <x:c r="J51" s="4"/>
      <x:c r="K51" s="4"/>
      <x:c r="L51" s="4"/>
    </x:row>
    <x:row r="52" ht="19" customHeight="1">
      <x:c r="A52" s="1"/>
      <x:c r="B52" s="1"/>
      <x:c r="C52" s="4"/>
      <x:c r="D52" s="4"/>
      <x:c r="E52" s="4"/>
      <x:c r="F52" s="4"/>
      <x:c r="G52" s="4"/>
      <x:c r="H52" s="4"/>
      <x:c r="I52" s="4"/>
      <x:c r="J52" s="4"/>
      <x:c r="K52" s="4"/>
      <x:c r="L52" s="4"/>
    </x:row>
    <x:row r="53" ht="19" customHeight="1">
      <x:c r="A53" s="1"/>
      <x:c r="B53" s="1"/>
      <x:c r="C53" s="4"/>
      <x:c r="D53" s="4"/>
      <x:c r="E53" s="4"/>
      <x:c r="F53" s="4"/>
      <x:c r="G53" s="4"/>
      <x:c r="H53" s="4"/>
      <x:c r="I53" s="4"/>
      <x:c r="J53" s="4"/>
      <x:c r="K53" s="4"/>
      <x:c r="L53" s="4"/>
    </x:row>
    <x:row r="54" ht="19" customHeight="1">
      <x:c r="A54" s="1"/>
      <x:c r="B54" s="1"/>
      <x:c r="C54" s="4"/>
      <x:c r="D54" s="4"/>
      <x:c r="E54" s="4"/>
      <x:c r="F54" s="4"/>
      <x:c r="G54" s="4"/>
      <x:c r="H54" s="4"/>
      <x:c r="I54" s="4"/>
      <x:c r="J54" s="4"/>
      <x:c r="K54" s="4"/>
      <x:c r="L54" s="4"/>
    </x:row>
    <x:row r="55" ht="19" customHeight="1">
      <x:c r="A55" s="1"/>
      <x:c r="B55" s="1"/>
      <x:c r="C55" s="4"/>
      <x:c r="D55" s="4"/>
      <x:c r="E55" s="4"/>
      <x:c r="F55" s="4"/>
      <x:c r="G55" s="4"/>
      <x:c r="H55" s="4"/>
      <x:c r="I55" s="4"/>
      <x:c r="J55" s="4"/>
      <x:c r="K55" s="4"/>
      <x:c r="L55" s="4"/>
    </x:row>
    <x:row r="56" ht="19" customHeight="1">
      <x:c r="A56" s="1"/>
      <x:c r="B56" s="1"/>
      <x:c r="C56" s="4"/>
      <x:c r="D56" s="4"/>
      <x:c r="E56" s="4"/>
      <x:c r="F56" s="4"/>
      <x:c r="G56" s="4"/>
      <x:c r="H56" s="4"/>
      <x:c r="I56" s="4"/>
      <x:c r="J56" s="4"/>
      <x:c r="K56" s="4"/>
      <x:c r="L56" s="4"/>
    </x:row>
    <x:row r="57" ht="19" customHeight="1">
      <x:c r="A57" s="1"/>
      <x:c r="B57" s="1"/>
      <x:c r="C57" s="4"/>
      <x:c r="D57" s="4"/>
      <x:c r="E57" s="4"/>
      <x:c r="F57" s="4"/>
      <x:c r="G57" s="4"/>
      <x:c r="H57" s="4"/>
      <x:c r="I57" s="4"/>
      <x:c r="J57" s="4"/>
      <x:c r="K57" s="4"/>
      <x:c r="L57" s="4"/>
    </x:row>
    <x:row r="58" ht="19" customHeight="1">
      <x:c r="A58" s="1"/>
      <x:c r="B58" s="1"/>
      <x:c r="C58" s="4"/>
      <x:c r="D58" s="4"/>
      <x:c r="E58" s="4"/>
      <x:c r="F58" s="4"/>
      <x:c r="G58" s="4"/>
      <x:c r="H58" s="4"/>
      <x:c r="I58" s="4"/>
      <x:c r="J58" s="4"/>
      <x:c r="K58" s="4"/>
      <x:c r="L58" s="4"/>
    </x:row>
    <x:row r="59" ht="19" customHeight="1">
      <x:c r="A59" s="1"/>
      <x:c r="B59" s="1"/>
      <x:c r="C59" s="4"/>
      <x:c r="D59" s="4"/>
      <x:c r="E59" s="4"/>
      <x:c r="F59" s="4"/>
      <x:c r="G59" s="4"/>
      <x:c r="H59" s="4"/>
      <x:c r="I59" s="4"/>
      <x:c r="J59" s="4"/>
      <x:c r="K59" s="4"/>
      <x:c r="L59" s="4"/>
    </x:row>
    <x:row r="60" ht="19" customHeight="1">
      <x:c r="A60" s="1"/>
      <x:c r="B60" s="1"/>
      <x:c r="C60" s="4"/>
      <x:c r="D60" s="4"/>
      <x:c r="E60" s="4"/>
      <x:c r="F60" s="4"/>
      <x:c r="G60" s="4"/>
      <x:c r="H60" s="4"/>
      <x:c r="I60" s="4"/>
      <x:c r="J60" s="4"/>
      <x:c r="K60" s="4"/>
      <x:c r="L60" s="4"/>
    </x:row>
    <x:row r="61" ht="19" customHeight="1">
      <x:c r="A61" s="1"/>
      <x:c r="B61" s="1"/>
      <x:c r="C61" s="4"/>
      <x:c r="D61" s="4"/>
      <x:c r="E61" s="4"/>
      <x:c r="F61" s="4"/>
      <x:c r="G61" s="4"/>
      <x:c r="H61" s="4"/>
      <x:c r="I61" s="4"/>
      <x:c r="J61" s="4"/>
      <x:c r="K61" s="4"/>
      <x:c r="L61" s="4"/>
    </x:row>
    <x:row r="62" ht="19" customHeight="1">
      <x:c r="A62" s="1"/>
      <x:c r="B62" s="1"/>
      <x:c r="C62" s="4"/>
      <x:c r="D62" s="4"/>
      <x:c r="E62" s="4"/>
      <x:c r="F62" s="4"/>
      <x:c r="G62" s="4"/>
      <x:c r="H62" s="4"/>
      <x:c r="I62" s="4"/>
      <x:c r="J62" s="4"/>
      <x:c r="K62" s="4"/>
      <x:c r="L62" s="4"/>
    </x:row>
    <x:row r="63" ht="19" customHeight="1">
      <x:c r="A63" s="1"/>
      <x:c r="B63" s="1"/>
      <x:c r="C63" s="4"/>
      <x:c r="D63" s="4"/>
      <x:c r="E63" s="4"/>
      <x:c r="F63" s="4"/>
      <x:c r="G63" s="4"/>
      <x:c r="H63" s="4"/>
      <x:c r="I63" s="4"/>
      <x:c r="J63" s="4"/>
      <x:c r="K63" s="4"/>
      <x:c r="L63" s="4"/>
    </x:row>
    <x:row r="64" ht="19" customHeight="1">
      <x:c r="A64" s="1"/>
      <x:c r="B64" s="1"/>
      <x:c r="C64" s="4"/>
      <x:c r="D64" s="4"/>
      <x:c r="E64" s="4"/>
      <x:c r="F64" s="4"/>
      <x:c r="G64" s="4"/>
      <x:c r="H64" s="4"/>
      <x:c r="I64" s="4"/>
      <x:c r="J64" s="4"/>
      <x:c r="K64" s="4"/>
      <x:c r="L64" s="4"/>
    </x:row>
    <x:row r="65" ht="19" customHeight="1">
      <x:c r="A65" s="1"/>
      <x:c r="B65" s="1"/>
      <x:c r="C65" s="4"/>
      <x:c r="D65" s="4"/>
      <x:c r="E65" s="4"/>
      <x:c r="F65" s="4"/>
      <x:c r="G65" s="4"/>
      <x:c r="H65" s="4"/>
      <x:c r="I65" s="4"/>
      <x:c r="J65" s="4"/>
      <x:c r="K65" s="4"/>
      <x:c r="L65" s="4"/>
    </x:row>
    <x:row r="66" ht="19" customHeight="1">
      <x:c r="A66" s="1"/>
      <x:c r="B66" s="1"/>
      <x:c r="C66" s="4"/>
      <x:c r="D66" s="4"/>
      <x:c r="E66" s="4"/>
      <x:c r="F66" s="4"/>
      <x:c r="G66" s="4"/>
      <x:c r="H66" s="4"/>
      <x:c r="I66" s="4"/>
      <x:c r="J66" s="4"/>
      <x:c r="K66" s="4"/>
      <x:c r="L66" s="4"/>
    </x:row>
    <x:row r="67" ht="19" customHeight="1">
      <x:c r="A67" s="1"/>
      <x:c r="B67" s="1"/>
      <x:c r="C67" s="4"/>
      <x:c r="D67" s="4"/>
      <x:c r="E67" s="4"/>
      <x:c r="F67" s="4"/>
      <x:c r="G67" s="4"/>
      <x:c r="H67" s="4"/>
      <x:c r="I67" s="4"/>
      <x:c r="J67" s="4"/>
      <x:c r="K67" s="4"/>
      <x:c r="L67" s="4"/>
    </x:row>
    <x:row r="68" ht="19" customHeight="1">
      <x:c r="A68" s="1"/>
      <x:c r="B68" s="1"/>
      <x:c r="C68" s="4"/>
      <x:c r="D68" s="4"/>
      <x:c r="E68" s="4"/>
      <x:c r="F68" s="4"/>
      <x:c r="G68" s="4"/>
      <x:c r="H68" s="4"/>
      <x:c r="I68" s="4"/>
      <x:c r="J68" s="4"/>
      <x:c r="K68" s="4"/>
      <x:c r="L68" s="4"/>
    </x:row>
    <x:row r="69" ht="19" customHeight="1">
      <x:c r="A69" s="1"/>
      <x:c r="B69" s="1"/>
      <x:c r="C69" s="4"/>
      <x:c r="D69" s="4"/>
      <x:c r="E69" s="4"/>
      <x:c r="F69" s="4"/>
      <x:c r="G69" s="4"/>
      <x:c r="H69" s="4"/>
      <x:c r="I69" s="4"/>
      <x:c r="J69" s="4"/>
      <x:c r="K69" s="4"/>
      <x:c r="L69" s="4"/>
    </x:row>
    <x:row r="70" ht="19" customHeight="1">
      <x:c r="A70" s="1"/>
      <x:c r="B70" s="1"/>
      <x:c r="C70" s="4"/>
      <x:c r="D70" s="4"/>
      <x:c r="E70" s="4"/>
      <x:c r="F70" s="4"/>
      <x:c r="G70" s="4"/>
      <x:c r="H70" s="4"/>
      <x:c r="I70" s="4"/>
      <x:c r="J70" s="4"/>
      <x:c r="K70" s="4"/>
      <x:c r="L70" s="4"/>
    </x:row>
    <x:row r="71" ht="19" customHeight="1">
      <x:c r="A71" s="1"/>
      <x:c r="B71" s="1"/>
      <x:c r="C71" s="4"/>
      <x:c r="D71" s="4"/>
      <x:c r="E71" s="4"/>
      <x:c r="F71" s="4"/>
      <x:c r="G71" s="4"/>
      <x:c r="H71" s="4"/>
      <x:c r="I71" s="4"/>
      <x:c r="J71" s="4"/>
      <x:c r="K71" s="4"/>
      <x:c r="L71" s="4"/>
    </x:row>
    <x:row r="72" ht="19" customHeight="1">
      <x:c r="A72" s="1"/>
      <x:c r="B72" s="1"/>
      <x:c r="C72" s="4"/>
      <x:c r="D72" s="4"/>
      <x:c r="E72" s="4"/>
      <x:c r="F72" s="4"/>
      <x:c r="G72" s="4"/>
      <x:c r="H72" s="4"/>
      <x:c r="I72" s="4"/>
      <x:c r="J72" s="4"/>
      <x:c r="K72" s="4"/>
      <x:c r="L72" s="4"/>
    </x:row>
    <x:row r="73" ht="19" customHeight="1">
      <x:c r="A73" s="1"/>
      <x:c r="B73" s="1"/>
      <x:c r="C73" s="4"/>
      <x:c r="D73" s="4"/>
      <x:c r="E73" s="4"/>
      <x:c r="F73" s="4"/>
      <x:c r="G73" s="4"/>
      <x:c r="H73" s="4"/>
      <x:c r="I73" s="4"/>
      <x:c r="J73" s="4"/>
      <x:c r="K73" s="4"/>
      <x:c r="L73" s="4"/>
    </x:row>
    <x:row r="74" ht="19" customHeight="1">
      <x:c r="A74" s="1"/>
      <x:c r="B74" s="1"/>
      <x:c r="C74" s="4"/>
      <x:c r="D74" s="4"/>
      <x:c r="E74" s="4"/>
      <x:c r="F74" s="4"/>
      <x:c r="G74" s="4"/>
      <x:c r="H74" s="4"/>
      <x:c r="I74" s="4"/>
      <x:c r="J74" s="4"/>
      <x:c r="K74" s="4"/>
      <x:c r="L74" s="4"/>
    </x:row>
    <x:row r="75" ht="19" customHeight="1">
      <x:c r="A75" s="1"/>
      <x:c r="B75" s="1"/>
      <x:c r="C75" s="4"/>
      <x:c r="D75" s="4"/>
      <x:c r="E75" s="4"/>
      <x:c r="F75" s="4"/>
      <x:c r="G75" s="4"/>
      <x:c r="H75" s="4"/>
      <x:c r="I75" s="4"/>
      <x:c r="J75" s="4"/>
      <x:c r="K75" s="4"/>
      <x:c r="L75" s="4"/>
    </x:row>
    <x:row r="76" ht="19" customHeight="1">
      <x:c r="A76" s="1"/>
      <x:c r="B76" s="1"/>
      <x:c r="C76" s="4"/>
      <x:c r="D76" s="4"/>
      <x:c r="E76" s="4"/>
      <x:c r="F76" s="4"/>
      <x:c r="G76" s="4"/>
      <x:c r="H76" s="4"/>
      <x:c r="I76" s="4"/>
      <x:c r="J76" s="4"/>
      <x:c r="K76" s="4"/>
      <x:c r="L76" s="4"/>
    </x:row>
    <x:row r="77" ht="19" customHeight="1">
      <x:c r="A77" s="1"/>
      <x:c r="B77" s="1"/>
      <x:c r="C77" s="4"/>
      <x:c r="D77" s="4"/>
      <x:c r="E77" s="4"/>
      <x:c r="F77" s="4"/>
      <x:c r="G77" s="4"/>
      <x:c r="H77" s="4"/>
      <x:c r="I77" s="4"/>
      <x:c r="J77" s="4"/>
      <x:c r="K77" s="4"/>
      <x:c r="L77" s="4"/>
    </x:row>
    <x:row r="78" ht="19" customHeight="1">
      <x:c r="A78" s="1"/>
      <x:c r="B78" s="1"/>
      <x:c r="C78" s="4"/>
      <x:c r="D78" s="4"/>
      <x:c r="E78" s="4"/>
      <x:c r="F78" s="4"/>
      <x:c r="G78" s="4"/>
      <x:c r="H78" s="4"/>
      <x:c r="I78" s="4"/>
      <x:c r="J78" s="4"/>
      <x:c r="K78" s="4"/>
      <x:c r="L78" s="4"/>
    </x:row>
    <x:row r="79" ht="19" customHeight="1">
      <x:c r="A79" s="1"/>
      <x:c r="B79" s="1"/>
      <x:c r="C79" s="4"/>
      <x:c r="D79" s="4"/>
      <x:c r="E79" s="4"/>
      <x:c r="F79" s="4"/>
      <x:c r="G79" s="4"/>
      <x:c r="H79" s="4"/>
      <x:c r="I79" s="4"/>
      <x:c r="J79" s="4"/>
      <x:c r="K79" s="4"/>
      <x:c r="L79" s="4"/>
    </x:row>
    <x:row r="80" ht="19" customHeight="1">
      <x:c r="A80" s="1"/>
      <x:c r="B80" s="1"/>
      <x:c r="C80" s="4"/>
      <x:c r="D80" s="4"/>
      <x:c r="E80" s="4"/>
      <x:c r="F80" s="4"/>
      <x:c r="G80" s="4"/>
      <x:c r="H80" s="4"/>
      <x:c r="I80" s="4"/>
      <x:c r="J80" s="4"/>
      <x:c r="K80" s="4"/>
      <x:c r="L80" s="4"/>
    </x:row>
    <x:row r="81" ht="19" customHeight="1">
      <x:c r="A81" s="1"/>
      <x:c r="B81" s="1"/>
      <x:c r="C81" s="4"/>
      <x:c r="D81" s="4"/>
      <x:c r="E81" s="4"/>
      <x:c r="F81" s="4"/>
      <x:c r="G81" s="4"/>
      <x:c r="H81" s="4"/>
      <x:c r="I81" s="4"/>
      <x:c r="J81" s="4"/>
      <x:c r="K81" s="4"/>
      <x:c r="L81" s="4"/>
    </x:row>
    <x:row r="82" ht="19" customHeight="1">
      <x:c r="A82" s="1"/>
      <x:c r="B82" s="1"/>
      <x:c r="C82" s="4"/>
      <x:c r="D82" s="4"/>
      <x:c r="E82" s="4"/>
      <x:c r="F82" s="4"/>
      <x:c r="G82" s="4"/>
      <x:c r="H82" s="4"/>
      <x:c r="I82" s="4"/>
      <x:c r="J82" s="4"/>
      <x:c r="K82" s="4"/>
      <x:c r="L82" s="4"/>
    </x:row>
    <x:row r="83" ht="19" customHeight="1">
      <x:c r="A83" s="1"/>
      <x:c r="B83" s="1"/>
      <x:c r="C83" s="4"/>
      <x:c r="D83" s="4"/>
      <x:c r="E83" s="4"/>
      <x:c r="F83" s="4"/>
      <x:c r="G83" s="4"/>
      <x:c r="H83" s="4"/>
      <x:c r="I83" s="4"/>
      <x:c r="J83" s="4"/>
      <x:c r="K83" s="4"/>
      <x:c r="L83" s="4"/>
    </x:row>
    <x:row r="84" ht="19" customHeight="1">
      <x:c r="A84" s="1"/>
      <x:c r="B84" s="1"/>
      <x:c r="C84" s="4"/>
      <x:c r="D84" s="4"/>
      <x:c r="E84" s="4"/>
      <x:c r="F84" s="4"/>
      <x:c r="G84" s="4"/>
      <x:c r="H84" s="4"/>
      <x:c r="I84" s="4"/>
      <x:c r="J84" s="4"/>
      <x:c r="K84" s="4"/>
      <x:c r="L84" s="4"/>
    </x:row>
    <x:row r="85" ht="19" customHeight="1">
      <x:c r="A85" s="1"/>
      <x:c r="B85" s="1"/>
      <x:c r="C85" s="4"/>
      <x:c r="D85" s="4"/>
      <x:c r="E85" s="4"/>
      <x:c r="F85" s="4"/>
      <x:c r="G85" s="4"/>
      <x:c r="H85" s="4"/>
      <x:c r="I85" s="4"/>
      <x:c r="J85" s="4"/>
      <x:c r="K85" s="4"/>
      <x:c r="L85" s="4"/>
    </x:row>
    <x:row r="86" ht="19" customHeight="1">
      <x:c r="A86" s="1"/>
      <x:c r="B86" s="1"/>
      <x:c r="C86" s="4"/>
      <x:c r="D86" s="4"/>
      <x:c r="E86" s="4"/>
      <x:c r="F86" s="4"/>
      <x:c r="G86" s="4"/>
      <x:c r="H86" s="4"/>
      <x:c r="I86" s="4"/>
      <x:c r="J86" s="4"/>
      <x:c r="K86" s="4"/>
      <x:c r="L86" s="4"/>
    </x:row>
    <x:row r="87" ht="19" customHeight="1">
      <x:c r="A87" s="1"/>
      <x:c r="B87" s="1"/>
      <x:c r="C87" s="4"/>
      <x:c r="D87" s="4"/>
      <x:c r="E87" s="4"/>
      <x:c r="F87" s="4"/>
      <x:c r="G87" s="4"/>
      <x:c r="H87" s="4"/>
      <x:c r="I87" s="4"/>
      <x:c r="J87" s="4"/>
      <x:c r="K87" s="4"/>
      <x:c r="L87" s="4"/>
    </x:row>
    <x:row r="88" ht="19" customHeight="1">
      <x:c r="A88" s="1"/>
      <x:c r="B88" s="1"/>
      <x:c r="C88" s="4"/>
      <x:c r="D88" s="4"/>
      <x:c r="E88" s="4"/>
      <x:c r="F88" s="4"/>
      <x:c r="G88" s="4"/>
      <x:c r="H88" s="4"/>
      <x:c r="I88" s="4"/>
      <x:c r="J88" s="4"/>
      <x:c r="K88" s="4"/>
      <x:c r="L88" s="4"/>
    </x:row>
    <x:row r="89" ht="19" customHeight="1">
      <x:c r="A89" s="1"/>
      <x:c r="B89" s="1"/>
      <x:c r="C89" s="4"/>
      <x:c r="D89" s="4"/>
      <x:c r="E89" s="4"/>
      <x:c r="F89" s="4"/>
      <x:c r="G89" s="4"/>
      <x:c r="H89" s="4"/>
      <x:c r="I89" s="4"/>
      <x:c r="J89" s="4"/>
      <x:c r="K89" s="4"/>
      <x:c r="L89" s="4"/>
    </x:row>
    <x:row r="90" ht="19" customHeight="1">
      <x:c r="A90" s="1"/>
      <x:c r="B90" s="1"/>
      <x:c r="C90" s="4"/>
      <x:c r="D90" s="4"/>
      <x:c r="E90" s="4"/>
      <x:c r="F90" s="4"/>
      <x:c r="G90" s="4"/>
      <x:c r="H90" s="4"/>
      <x:c r="I90" s="4"/>
      <x:c r="J90" s="4"/>
      <x:c r="K90" s="4"/>
      <x:c r="L90" s="4"/>
    </x:row>
    <x:row r="91" ht="19" customHeight="1">
      <x:c r="A91" s="1"/>
      <x:c r="B91" s="1"/>
      <x:c r="C91" s="4"/>
      <x:c r="D91" s="4"/>
      <x:c r="E91" s="4"/>
      <x:c r="F91" s="4"/>
      <x:c r="G91" s="4"/>
      <x:c r="H91" s="4"/>
      <x:c r="I91" s="4"/>
      <x:c r="J91" s="4"/>
      <x:c r="K91" s="4"/>
      <x:c r="L91" s="4"/>
    </x:row>
    <x:row r="92" ht="19" customHeight="1">
      <x:c r="A92" s="1"/>
      <x:c r="B92" s="1"/>
      <x:c r="C92" s="4"/>
      <x:c r="D92" s="4"/>
      <x:c r="E92" s="4"/>
      <x:c r="F92" s="4"/>
      <x:c r="G92" s="4"/>
      <x:c r="H92" s="4"/>
      <x:c r="I92" s="4"/>
      <x:c r="J92" s="4"/>
      <x:c r="K92" s="4"/>
      <x:c r="L92" s="4"/>
    </x:row>
    <x:row r="93" ht="19" customHeight="1">
      <x:c r="A93" s="1"/>
      <x:c r="B93" s="1"/>
      <x:c r="C93" s="4"/>
      <x:c r="D93" s="4"/>
      <x:c r="E93" s="4"/>
      <x:c r="F93" s="4"/>
      <x:c r="G93" s="4"/>
      <x:c r="H93" s="4"/>
      <x:c r="I93" s="4"/>
      <x:c r="J93" s="4"/>
      <x:c r="K93" s="4"/>
      <x:c r="L93" s="4"/>
    </x:row>
    <x:row r="94" ht="19" customHeight="1">
      <x:c r="A94" s="1"/>
      <x:c r="B94" s="1"/>
      <x:c r="C94" s="4"/>
      <x:c r="D94" s="4"/>
      <x:c r="E94" s="4"/>
      <x:c r="F94" s="4"/>
      <x:c r="G94" s="4"/>
      <x:c r="H94" s="4"/>
      <x:c r="I94" s="4"/>
      <x:c r="J94" s="4"/>
      <x:c r="K94" s="4"/>
      <x:c r="L94" s="4"/>
    </x:row>
    <x:row r="95" ht="19" customHeight="1">
      <x:c r="A95" s="1"/>
      <x:c r="B95" s="1"/>
      <x:c r="C95" s="4"/>
      <x:c r="D95" s="4"/>
      <x:c r="E95" s="4"/>
      <x:c r="F95" s="4"/>
      <x:c r="G95" s="4"/>
      <x:c r="H95" s="4"/>
      <x:c r="I95" s="4"/>
      <x:c r="J95" s="4"/>
      <x:c r="K95" s="4"/>
      <x:c r="L95" s="4"/>
    </x:row>
    <x:row r="96" ht="19" customHeight="1">
      <x:c r="A96" s="1"/>
      <x:c r="B96" s="1"/>
      <x:c r="C96" s="4"/>
      <x:c r="D96" s="4"/>
      <x:c r="E96" s="4"/>
      <x:c r="F96" s="4"/>
      <x:c r="G96" s="4"/>
      <x:c r="H96" s="4"/>
      <x:c r="I96" s="4"/>
      <x:c r="J96" s="4"/>
      <x:c r="K96" s="4"/>
      <x:c r="L96" s="4"/>
    </x:row>
    <x:row r="97" ht="19" customHeight="1">
      <x:c r="A97" s="1"/>
      <x:c r="B97" s="1"/>
      <x:c r="C97" s="4"/>
      <x:c r="D97" s="4"/>
      <x:c r="E97" s="4"/>
      <x:c r="F97" s="4"/>
      <x:c r="G97" s="4"/>
      <x:c r="H97" s="4"/>
      <x:c r="I97" s="4"/>
      <x:c r="J97" s="4"/>
      <x:c r="K97" s="4"/>
      <x:c r="L97" s="4"/>
    </x:row>
    <x:row r="98" ht="19" customHeight="1">
      <x:c r="A98" s="1"/>
      <x:c r="B98" s="1"/>
      <x:c r="C98" s="4"/>
      <x:c r="D98" s="4"/>
      <x:c r="E98" s="4"/>
      <x:c r="F98" s="4"/>
      <x:c r="G98" s="4"/>
      <x:c r="H98" s="4"/>
      <x:c r="I98" s="4"/>
      <x:c r="J98" s="4"/>
      <x:c r="K98" s="4"/>
      <x:c r="L98" s="4"/>
    </x:row>
    <x:row r="99" ht="19" customHeight="1">
      <x:c r="A99" s="1"/>
      <x:c r="B99" s="1"/>
      <x:c r="C99" s="4"/>
      <x:c r="D99" s="4"/>
      <x:c r="E99" s="4"/>
      <x:c r="F99" s="4"/>
      <x:c r="G99" s="4"/>
      <x:c r="H99" s="4"/>
      <x:c r="I99" s="4"/>
      <x:c r="J99" s="4"/>
      <x:c r="K99" s="4"/>
      <x:c r="L99" s="4"/>
    </x:row>
    <x:row r="100" ht="19" customHeight="1">
      <x:c r="A100" s="1"/>
      <x:c r="B100" s="1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</x:row>
    <x:row r="101" ht="19" customHeight="1">
      <x:c r="A101" s="1"/>
      <x:c r="B101" s="1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</x:row>
    <x:row r="102" ht="19" customHeight="1">
      <x:c r="A102" s="1"/>
      <x:c r="B102" s="1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</x:row>
    <x:row r="103" ht="19" customHeight="1">
      <x:c r="A103" s="1"/>
      <x:c r="B103" s="1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</x:row>
    <x:row r="104" ht="19" customHeight="1">
      <x:c r="A104" s="1"/>
      <x:c r="B104" s="1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</x:row>
    <x:row r="105" ht="19" customHeight="1">
      <x:c r="A105" s="1"/>
      <x:c r="B105" s="1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</x:row>
    <x:row r="106" ht="19" customHeight="1">
      <x:c r="A106" s="1"/>
      <x:c r="B106" s="1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</x:row>
    <x:row r="107" ht="19" customHeight="1">
      <x:c r="A107" s="1"/>
      <x:c r="B107" s="1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</x:row>
    <x:row r="108" ht="19" customHeight="1">
      <x:c r="A108" s="1"/>
      <x:c r="B108" s="1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</x:row>
    <x:row r="109" ht="19" customHeight="1">
      <x:c r="A109" s="1"/>
      <x:c r="B109" s="1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</x:row>
    <x:row r="110" ht="19" customHeight="1">
      <x:c r="A110" s="1"/>
      <x:c r="B110" s="1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</x:row>
    <x:row r="111" ht="19" customHeight="1">
      <x:c r="A111" s="1"/>
      <x:c r="B111" s="1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</x:row>
    <x:row r="112" ht="19" customHeight="1">
      <x:c r="A112" s="1"/>
      <x:c r="B112" s="1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</x:row>
    <x:row r="113" ht="19" customHeight="1">
      <x:c r="A113" s="1"/>
      <x:c r="B113" s="1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</x:row>
    <x:row r="114" ht="19" customHeight="1">
      <x:c r="A114" s="1"/>
      <x:c r="B114" s="1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</x:row>
    <x:row r="115" ht="19" customHeight="1">
      <x:c r="A115" s="1"/>
      <x:c r="B115" s="1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</x:row>
    <x:row r="116" ht="19" customHeight="1">
      <x:c r="A116" s="1"/>
      <x:c r="B116" s="1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</x:row>
    <x:row r="117" ht="19" customHeight="1">
      <x:c r="A117" s="1"/>
      <x:c r="B117" s="1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</x:row>
    <x:row r="118" ht="19" customHeight="1">
      <x:c r="A118" s="1"/>
      <x:c r="B118" s="1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</x:row>
    <x:row r="119" ht="19" customHeight="1">
      <x:c r="A119" s="1"/>
      <x:c r="B119" s="1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</x:row>
    <x:row r="120" ht="19" customHeight="1">
      <x:c r="A120" s="1"/>
      <x:c r="B120" s="1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</x:row>
    <x:row r="121" ht="19" customHeight="1">
      <x:c r="A121" s="1"/>
      <x:c r="B121" s="1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</x:row>
    <x:row r="122" ht="19" customHeight="1">
      <x:c r="A122" s="1"/>
      <x:c r="B122" s="1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</x:row>
    <x:row r="123" ht="19" customHeight="1">
      <x:c r="A123" s="1"/>
      <x:c r="B123" s="1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</x:row>
    <x:row r="124" ht="19" customHeight="1">
      <x:c r="A124" s="1"/>
      <x:c r="B124" s="1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</x:row>
    <x:row r="125" ht="19" customHeight="1">
      <x:c r="A125" s="1"/>
      <x:c r="B125" s="1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</x:row>
  </x:sheetData>
  <x:mergeCells>
    <x:mergeCell ref="A30:G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343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4" hidden="0" customWidth="1"/>
    <x:col min="3" max="3" width="51" hidden="0" customWidth="1"/>
    <x:col min="4" max="4" width="95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7" customHeight="1">
      <x:c r="A1" s="7" t="str">
        <x:v>Sources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 ht="1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18" customHeight="1">
      <x:c r="A3" s="8" t="str">
        <x:v>Pricol Limited · Consolidated · INR crore unless stated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4" ht="18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18" customHeight="1">
      <x:c r="A5" s="13" t="str">
        <x:v>Period</x:v>
      </x:c>
      <x:c r="B5" s="13" t="str">
        <x:v>Document</x:v>
      </x:c>
      <x:c r="C5" s="13" t="str">
        <x:v>File name</x:v>
      </x:c>
      <x:c r="D5" s="13" t="str">
        <x:v>Source URL</x:v>
      </x:c>
      <x:c r="E5" s="13"/>
      <x:c r="F5" s="13"/>
      <x:c r="G5" s="13"/>
      <x:c r="H5" s="13"/>
      <x:c r="I5" s="13"/>
      <x:c r="J5" s="13"/>
      <x:c r="K5" s="13"/>
      <x:c r="L5" s="14"/>
    </x:row>
    <x:row r="6" ht="18" customHeight="1">
      <x:c r="A6" s="31" t="str">
        <x:v>FY2023</x:v>
      </x:c>
      <x:c r="B6" s="31" t="str">
        <x:v>Annual report</x:v>
      </x:c>
      <x:c r="C6" s="32" t="str">
        <x:v>Pricol_Annual_Report_FY2023.pdf</x:v>
      </x:c>
      <x:c r="D6" s="32" t="str">
        <x:v>https://pricol.com/wp-content/uploads/2023/07/Pricol-Annual-Report-FY23.pdf</x:v>
      </x:c>
      <x:c r="E6" s="4"/>
      <x:c r="F6" s="4"/>
      <x:c r="G6" s="4"/>
      <x:c r="H6" s="4"/>
      <x:c r="I6" s="4"/>
      <x:c r="J6" s="4"/>
      <x:c r="K6" s="4"/>
      <x:c r="L6" s="5"/>
    </x:row>
    <x:row r="7" ht="18" customHeight="1">
      <x:c r="A7" s="31" t="str">
        <x:v>FY2024</x:v>
      </x:c>
      <x:c r="B7" s="31" t="str">
        <x:v>Annual report</x:v>
      </x:c>
      <x:c r="C7" s="32" t="str">
        <x:v>Pricol_Annual_Report_FY2024.pdf</x:v>
      </x:c>
      <x:c r="D7" s="32" t="str">
        <x:v>https://pricol.com/wp-content/uploads/2024/07/Annual-Report-2024.pdf</x:v>
      </x:c>
      <x:c r="E7" s="4"/>
      <x:c r="F7" s="4"/>
      <x:c r="G7" s="4"/>
      <x:c r="H7" s="4"/>
      <x:c r="I7" s="4"/>
      <x:c r="J7" s="4"/>
      <x:c r="K7" s="4"/>
      <x:c r="L7" s="5"/>
    </x:row>
    <x:row r="8" ht="18" customHeight="1">
      <x:c r="A8" s="31" t="str">
        <x:v>FY2025</x:v>
      </x:c>
      <x:c r="B8" s="31" t="str">
        <x:v>Annual report</x:v>
      </x:c>
      <x:c r="C8" s="32" t="str">
        <x:v>Pricol_Annual_Report_FY2025.pdf</x:v>
      </x:c>
      <x:c r="D8" s="32" t="str">
        <x:v>https://pricol.com/wp-content/uploads/2025/07/Pricol-Annual-Report-2025.pdf</x:v>
      </x:c>
      <x:c r="E8" s="4"/>
      <x:c r="F8" s="4"/>
      <x:c r="G8" s="4"/>
      <x:c r="H8" s="4"/>
      <x:c r="I8" s="4"/>
      <x:c r="J8" s="4"/>
      <x:c r="K8" s="4"/>
      <x:c r="L8" s="5"/>
    </x:row>
    <x:row r="9" ht="18" customHeight="1">
      <x:c r="A9" s="31" t="str">
        <x:v>FY2026</x:v>
      </x:c>
      <x:c r="B9" s="31" t="str">
        <x:v>Annual report</x:v>
      </x:c>
      <x:c r="C9" s="32" t="str">
        <x:v>Pricol_Annual_Report_FY2026.pdf</x:v>
      </x:c>
      <x:c r="D9" s="32" t="str">
        <x:v>https://pricol.com/wp-content/uploads/2026/07/Pricol-Annual-Report-2026-1.pdf</x:v>
      </x:c>
      <x:c r="E9" s="4"/>
      <x:c r="F9" s="4"/>
      <x:c r="G9" s="4"/>
      <x:c r="H9" s="4"/>
      <x:c r="I9" s="4"/>
      <x:c r="J9" s="4"/>
      <x:c r="K9" s="4"/>
      <x:c r="L9" s="5"/>
    </x:row>
    <x:row r="10" ht="18" customHeight="1">
      <x:c r="A10" s="31" t="str">
        <x:v>May 2026</x:v>
      </x:c>
      <x:c r="B10" s="31" t="str">
        <x:v>Management commentary</x:v>
      </x:c>
      <x:c r="C10" s="32" t="str">
        <x:v>Pricol_Call_Transcript_May2026.pdf</x:v>
      </x:c>
      <x:c r="D10" s="32" t="str">
        <x:v>https://pricol.com/wp-content/uploads/2026/05/selettertranscript.pdf</x:v>
      </x:c>
      <x:c r="E10" s="4"/>
      <x:c r="F10" s="4"/>
      <x:c r="G10" s="4"/>
      <x:c r="H10" s="4"/>
      <x:c r="I10" s="4"/>
      <x:c r="J10" s="4"/>
      <x:c r="K10" s="4"/>
      <x:c r="L10" s="5"/>
    </x:row>
    <x:row r="11" ht="18" customHeight="1">
      <x:c r="A11" s="31" t="str">
        <x:v>August 2026</x:v>
      </x:c>
      <x:c r="B11" s="31" t="str">
        <x:v>Management commentary</x:v>
      </x:c>
      <x:c r="C11" s="32" t="str">
        <x:v>Pricol_Call_Transcript_Aug2026.pdf</x:v>
      </x:c>
      <x:c r="D11" s="32" t="str">
        <x:v>https://pricol.com/wp-content/uploads/2026/08/selettertranscriptsigned.pdf</x:v>
      </x:c>
      <x:c r="E11" s="4"/>
      <x:c r="F11" s="4"/>
      <x:c r="G11" s="4"/>
      <x:c r="H11" s="4"/>
      <x:c r="I11" s="4"/>
      <x:c r="J11" s="4"/>
      <x:c r="K11" s="4"/>
      <x:c r="L11" s="5"/>
    </x:row>
    <x:row r="12" ht="18" customHeight="1">
      <x:c r="A12" s="31" t="str">
        <x:v>FY2026</x:v>
      </x:c>
      <x:c r="B12" s="31" t="str">
        <x:v>Investor presentation</x:v>
      </x:c>
      <x:c r="C12" s="32" t="str">
        <x:v>Pricol_Investor_Presentation_May2026.pdf</x:v>
      </x:c>
      <x:c r="D12" s="32" t="str">
        <x:v>https://pricol.com/wp-content/uploads/2026/05/sedisclosureinvestorpresentation.pdf</x:v>
      </x:c>
      <x:c r="E12" s="4"/>
      <x:c r="F12" s="4"/>
      <x:c r="G12" s="4"/>
      <x:c r="H12" s="4"/>
      <x:c r="I12" s="4"/>
      <x:c r="J12" s="4"/>
      <x:c r="K12" s="4"/>
      <x:c r="L12" s="5"/>
    </x:row>
    <x:row r="13" ht="18" customHeight="1">
      <x:c r="A13" s="31" t="str">
        <x:v>FY2022–FY2026</x:v>
      </x:c>
      <x:c r="B13" s="31" t="str">
        <x:v>Screener secondary comparison</x:v>
      </x:c>
      <x:c r="C13" s="32" t="str">
        <x:v>Pricol Ltd.xlsx</x:v>
      </x:c>
      <x:c r="D13" s="32" t="str">
        <x:v>User-supplied export; quote date not provided</x:v>
      </x:c>
      <x:c r="E13" s="4"/>
      <x:c r="F13" s="4"/>
      <x:c r="G13" s="4"/>
      <x:c r="H13" s="4"/>
      <x:c r="I13" s="4"/>
      <x:c r="J13" s="4"/>
      <x:c r="K13" s="4"/>
      <x:c r="L13" s="5"/>
    </x:row>
    <x:row r="14" ht="18" customHeight="1">
      <x:c r="A14" s="31" t="str">
        <x:v>FY2026</x:v>
      </x:c>
      <x:c r="B14" s="31" t="str">
        <x:v>Industry context</x:v>
      </x:c>
      <x:c r="C14" s="32" t="str">
        <x:v>SIAM FY2026 public press release</x:v>
      </x:c>
      <x:c r="D14" s="32" t="str">
        <x:v>https://www.siam.in/pressrelease-details.aspx?pid=605</x:v>
      </x:c>
      <x:c r="E14" s="4"/>
      <x:c r="F14" s="4"/>
      <x:c r="G14" s="4"/>
      <x:c r="H14" s="4"/>
      <x:c r="I14" s="4"/>
      <x:c r="J14" s="4"/>
      <x:c r="K14" s="4"/>
      <x:c r="L14" s="5"/>
    </x:row>
    <x:row r="15" ht="18" customHeight="1">
      <x:c r="A15" s="31"/>
      <x:c r="B15" s="31"/>
      <x:c r="C15" s="32"/>
      <x:c r="D15" s="32"/>
      <x:c r="E15" s="4"/>
      <x:c r="F15" s="4"/>
      <x:c r="G15" s="4"/>
      <x:c r="H15" s="4"/>
      <x:c r="I15" s="4"/>
      <x:c r="J15" s="4"/>
      <x:c r="K15" s="4"/>
      <x:c r="L15" s="5"/>
    </x:row>
    <x:row r="16" ht="18" customHeight="1">
      <x:c r="A16" s="31"/>
      <x:c r="B16" s="31"/>
      <x:c r="C16" s="32"/>
      <x:c r="D16" s="32"/>
      <x:c r="E16" s="4"/>
      <x:c r="F16" s="4"/>
      <x:c r="G16" s="4"/>
      <x:c r="H16" s="4"/>
      <x:c r="I16" s="4"/>
      <x:c r="J16" s="4"/>
      <x:c r="K16" s="4"/>
      <x:c r="L16" s="5"/>
    </x:row>
    <x:row r="17" ht="18" customHeight="1">
      <x:c r="A17" s="31"/>
      <x:c r="B17" s="31"/>
      <x:c r="C17" s="32"/>
      <x:c r="D17" s="32"/>
      <x:c r="E17" s="4"/>
      <x:c r="F17" s="4"/>
      <x:c r="G17" s="4"/>
      <x:c r="H17" s="4"/>
      <x:c r="I17" s="4"/>
      <x:c r="J17" s="4"/>
      <x:c r="K17" s="4"/>
      <x:c r="L17" s="5"/>
    </x:row>
    <x:row r="18" ht="18" customHeight="1">
      <x:c r="A18" s="31"/>
      <x:c r="B18" s="31"/>
      <x:c r="C18" s="32"/>
      <x:c r="D18" s="32"/>
      <x:c r="E18" s="4"/>
      <x:c r="F18" s="4"/>
      <x:c r="G18" s="4"/>
      <x:c r="H18" s="4"/>
      <x:c r="I18" s="4"/>
      <x:c r="J18" s="4"/>
      <x:c r="K18" s="4"/>
      <x:c r="L18" s="5"/>
    </x:row>
    <x:row r="19" ht="18" customHeight="1">
      <x:c r="A19" s="31"/>
      <x:c r="B19" s="31"/>
      <x:c r="C19" s="32"/>
      <x:c r="D19" s="32"/>
      <x:c r="E19" s="4"/>
      <x:c r="F19" s="4"/>
      <x:c r="G19" s="4"/>
      <x:c r="H19" s="4"/>
      <x:c r="I19" s="4"/>
      <x:c r="J19" s="4"/>
      <x:c r="K19" s="4"/>
      <x:c r="L19" s="5"/>
    </x:row>
    <x:row r="20" ht="18" customHeight="1">
      <x:c r="A20" s="31"/>
      <x:c r="B20" s="31"/>
      <x:c r="C20" s="32"/>
      <x:c r="D20" s="32"/>
      <x:c r="E20" s="4"/>
      <x:c r="F20" s="4"/>
      <x:c r="G20" s="4"/>
      <x:c r="H20" s="4"/>
      <x:c r="I20" s="4"/>
      <x:c r="J20" s="4"/>
      <x:c r="K20" s="4"/>
      <x:c r="L20" s="5"/>
    </x:row>
    <x:row r="21" ht="18" customHeight="1">
      <x:c r="A21" s="31"/>
      <x:c r="B21" s="31"/>
      <x:c r="C21" s="32"/>
      <x:c r="D21" s="32"/>
      <x:c r="E21" s="4"/>
      <x:c r="F21" s="4"/>
      <x:c r="G21" s="4"/>
      <x:c r="H21" s="4"/>
      <x:c r="I21" s="4"/>
      <x:c r="J21" s="4"/>
      <x:c r="K21" s="4"/>
      <x:c r="L21" s="5"/>
    </x:row>
    <x:row r="22" ht="18" customHeight="1">
      <x:c r="A22" s="31"/>
      <x:c r="B22" s="31"/>
      <x:c r="C22" s="32"/>
      <x:c r="D22" s="32"/>
      <x:c r="E22" s="4"/>
      <x:c r="F22" s="4"/>
      <x:c r="G22" s="4"/>
      <x:c r="H22" s="4"/>
      <x:c r="I22" s="4"/>
      <x:c r="J22" s="4"/>
      <x:c r="K22" s="4"/>
      <x:c r="L22" s="5"/>
    </x:row>
    <x:row r="23" ht="18" customHeight="1">
      <x:c r="A23" s="31"/>
      <x:c r="B23" s="31"/>
      <x:c r="C23" s="32"/>
      <x:c r="D23" s="32"/>
      <x:c r="E23" s="4"/>
      <x:c r="F23" s="4"/>
      <x:c r="G23" s="4"/>
      <x:c r="H23" s="4"/>
      <x:c r="I23" s="4"/>
      <x:c r="J23" s="4"/>
      <x:c r="K23" s="4"/>
      <x:c r="L23" s="5"/>
    </x:row>
    <x:row r="24" ht="18" customHeight="1">
      <x:c r="A24" s="31"/>
      <x:c r="B24" s="31"/>
      <x:c r="C24" s="32"/>
      <x:c r="D24" s="32"/>
      <x:c r="E24" s="4"/>
      <x:c r="F24" s="4"/>
      <x:c r="G24" s="4"/>
      <x:c r="H24" s="4"/>
      <x:c r="I24" s="4"/>
      <x:c r="J24" s="4"/>
      <x:c r="K24" s="4"/>
      <x:c r="L24" s="5"/>
    </x:row>
    <x:row r="25" ht="18" customHeight="1">
      <x:c r="A25" s="31"/>
      <x:c r="B25" s="31"/>
      <x:c r="C25" s="32"/>
      <x:c r="D25" s="32"/>
      <x:c r="E25" s="4"/>
      <x:c r="F25" s="4"/>
      <x:c r="G25" s="4"/>
      <x:c r="H25" s="4"/>
      <x:c r="I25" s="4"/>
      <x:c r="J25" s="4"/>
      <x:c r="K25" s="4"/>
      <x:c r="L25" s="5"/>
    </x:row>
    <x:row r="26" ht="18" customHeight="1">
      <x:c r="A26" s="31"/>
      <x:c r="B26" s="31"/>
      <x:c r="C26" s="32"/>
      <x:c r="D26" s="32"/>
      <x:c r="E26" s="4"/>
      <x:c r="F26" s="4"/>
      <x:c r="G26" s="4"/>
      <x:c r="H26" s="4"/>
      <x:c r="I26" s="4"/>
      <x:c r="J26" s="4"/>
      <x:c r="K26" s="4"/>
      <x:c r="L26" s="5"/>
    </x:row>
    <x:row r="27" ht="18" customHeight="1">
      <x:c r="A27" s="31"/>
      <x:c r="B27" s="31"/>
      <x:c r="C27" s="32"/>
      <x:c r="D27" s="32"/>
      <x:c r="E27" s="4"/>
      <x:c r="F27" s="4"/>
      <x:c r="G27" s="4"/>
      <x:c r="H27" s="4"/>
      <x:c r="I27" s="4"/>
      <x:c r="J27" s="4"/>
      <x:c r="K27" s="4"/>
      <x:c r="L27" s="5"/>
    </x:row>
    <x:row r="28" ht="18" customHeight="1">
      <x:c r="A28" s="31"/>
      <x:c r="B28" s="31"/>
      <x:c r="C28" s="32"/>
      <x:c r="D28" s="32"/>
      <x:c r="E28" s="4"/>
      <x:c r="F28" s="4"/>
      <x:c r="G28" s="4"/>
      <x:c r="H28" s="4"/>
      <x:c r="I28" s="4"/>
      <x:c r="J28" s="4"/>
      <x:c r="K28" s="4"/>
      <x:c r="L28" s="5"/>
    </x:row>
    <x:row r="29" ht="18" customHeight="1">
      <x:c r="A29" s="31"/>
      <x:c r="B29" s="31"/>
      <x:c r="C29" s="32"/>
      <x:c r="D29" s="32"/>
      <x:c r="E29" s="4"/>
      <x:c r="F29" s="4"/>
      <x:c r="G29" s="4"/>
      <x:c r="H29" s="4"/>
      <x:c r="I29" s="4"/>
      <x:c r="J29" s="4"/>
      <x:c r="K29" s="4"/>
      <x:c r="L29" s="5"/>
    </x:row>
    <x:row r="30" ht="18" customHeight="1">
      <x:c r="A30" s="31"/>
      <x:c r="B30" s="31"/>
      <x:c r="C30" s="32"/>
      <x:c r="D30" s="32"/>
      <x:c r="E30" s="4"/>
      <x:c r="F30" s="4"/>
      <x:c r="G30" s="4"/>
      <x:c r="H30" s="4"/>
      <x:c r="I30" s="4"/>
      <x:c r="J30" s="4"/>
      <x:c r="K30" s="4"/>
      <x:c r="L30" s="5"/>
    </x:row>
    <x:row r="31" ht="18" customHeight="1">
      <x:c r="A31" s="1"/>
      <x:c r="B31" s="1"/>
      <x:c r="C31" s="4"/>
      <x:c r="D31" s="4"/>
      <x:c r="E31" s="4"/>
      <x:c r="F31" s="4"/>
      <x:c r="G31" s="4"/>
      <x:c r="H31" s="4"/>
      <x:c r="I31" s="4"/>
      <x:c r="J31" s="4"/>
      <x:c r="K31" s="4"/>
      <x:c r="L31" s="5"/>
    </x:row>
    <x:row r="32" ht="18" customHeight="1">
      <x:c r="A32" s="1"/>
      <x:c r="B32" s="1"/>
      <x:c r="C32" s="4"/>
      <x:c r="D32" s="4"/>
      <x:c r="E32" s="4"/>
      <x:c r="F32" s="4"/>
      <x:c r="G32" s="4"/>
      <x:c r="H32" s="4"/>
      <x:c r="I32" s="4"/>
      <x:c r="J32" s="4"/>
      <x:c r="K32" s="4"/>
      <x:c r="L32" s="5"/>
    </x:row>
    <x:row r="33" ht="18" customHeight="1">
      <x:c r="A33" s="1"/>
      <x:c r="B33" s="1"/>
      <x:c r="C33" s="4"/>
      <x:c r="D33" s="4"/>
      <x:c r="E33" s="4"/>
      <x:c r="F33" s="4"/>
      <x:c r="G33" s="4"/>
      <x:c r="H33" s="4"/>
      <x:c r="I33" s="4"/>
      <x:c r="J33" s="4"/>
      <x:c r="K33" s="4"/>
      <x:c r="L33" s="5"/>
    </x:row>
    <x:row r="34" ht="18" customHeight="1">
      <x:c r="A34" s="1"/>
      <x:c r="B34" s="1"/>
      <x:c r="C34" s="4"/>
      <x:c r="D34" s="4"/>
      <x:c r="E34" s="4"/>
      <x:c r="F34" s="4"/>
      <x:c r="G34" s="4"/>
      <x:c r="H34" s="4"/>
      <x:c r="I34" s="4"/>
      <x:c r="J34" s="4"/>
      <x:c r="K34" s="4"/>
      <x:c r="L34" s="5"/>
    </x:row>
    <x:row r="35" ht="18" customHeight="1">
      <x:c r="A35" s="1"/>
      <x:c r="B35" s="1"/>
      <x:c r="C35" s="4"/>
      <x:c r="D35" s="4"/>
      <x:c r="E35" s="4"/>
      <x:c r="F35" s="4"/>
      <x:c r="G35" s="4"/>
      <x:c r="H35" s="4"/>
      <x:c r="I35" s="4"/>
      <x:c r="J35" s="4"/>
      <x:c r="K35" s="4"/>
      <x:c r="L35" s="5"/>
    </x:row>
    <x:row r="36" ht="18" customHeight="1">
      <x:c r="A36" s="1"/>
      <x:c r="B36" s="1"/>
      <x:c r="C36" s="4"/>
      <x:c r="D36" s="4"/>
      <x:c r="E36" s="4"/>
      <x:c r="F36" s="4"/>
      <x:c r="G36" s="4"/>
      <x:c r="H36" s="4"/>
      <x:c r="I36" s="4"/>
      <x:c r="J36" s="4"/>
      <x:c r="K36" s="4"/>
      <x:c r="L36" s="5"/>
    </x:row>
    <x:row r="37" ht="18" customHeight="1">
      <x:c r="A37" s="1"/>
      <x:c r="B37" s="1"/>
      <x:c r="C37" s="4"/>
      <x:c r="D37" s="4"/>
      <x:c r="E37" s="4"/>
      <x:c r="F37" s="4"/>
      <x:c r="G37" s="4"/>
      <x:c r="H37" s="4"/>
      <x:c r="I37" s="4"/>
      <x:c r="J37" s="4"/>
      <x:c r="K37" s="4"/>
      <x:c r="L37" s="5"/>
    </x:row>
    <x:row r="38" ht="18" customHeight="1">
      <x:c r="A38" s="1"/>
      <x:c r="B38" s="1"/>
      <x:c r="C38" s="4"/>
      <x:c r="D38" s="4"/>
      <x:c r="E38" s="4"/>
      <x:c r="F38" s="4"/>
      <x:c r="G38" s="4"/>
      <x:c r="H38" s="4"/>
      <x:c r="I38" s="4"/>
      <x:c r="J38" s="4"/>
      <x:c r="K38" s="4"/>
      <x:c r="L38" s="5"/>
    </x:row>
    <x:row r="39" ht="18" customHeight="1">
      <x:c r="A39" s="1"/>
      <x:c r="B39" s="1"/>
      <x:c r="C39" s="4"/>
      <x:c r="D39" s="4"/>
      <x:c r="E39" s="4"/>
      <x:c r="F39" s="4"/>
      <x:c r="G39" s="4"/>
      <x:c r="H39" s="4"/>
      <x:c r="I39" s="4"/>
      <x:c r="J39" s="4"/>
      <x:c r="K39" s="4"/>
      <x:c r="L39" s="5"/>
    </x:row>
    <x:row r="40" ht="18" customHeight="1">
      <x:c r="A40" s="1"/>
      <x:c r="B40" s="1"/>
      <x:c r="C40" s="4"/>
      <x:c r="D40" s="4"/>
      <x:c r="E40" s="4"/>
      <x:c r="F40" s="4"/>
      <x:c r="G40" s="4"/>
      <x:c r="H40" s="4"/>
      <x:c r="I40" s="4"/>
      <x:c r="J40" s="4"/>
      <x:c r="K40" s="4"/>
      <x:c r="L40" s="5"/>
    </x:row>
    <x:row r="41" ht="18" customHeight="1">
      <x:c r="A41" s="1"/>
      <x:c r="B41" s="1"/>
      <x:c r="C41" s="4"/>
      <x:c r="D41" s="4"/>
      <x:c r="E41" s="4"/>
      <x:c r="F41" s="4"/>
      <x:c r="G41" s="4"/>
      <x:c r="H41" s="4"/>
      <x:c r="I41" s="4"/>
      <x:c r="J41" s="4"/>
      <x:c r="K41" s="4"/>
      <x:c r="L41" s="5"/>
    </x:row>
    <x:row r="42" ht="18" customHeight="1">
      <x:c r="A42" s="1"/>
      <x:c r="B42" s="1"/>
      <x:c r="C42" s="4"/>
      <x:c r="D42" s="4"/>
      <x:c r="E42" s="4"/>
      <x:c r="F42" s="4"/>
      <x:c r="G42" s="4"/>
      <x:c r="H42" s="4"/>
      <x:c r="I42" s="4"/>
      <x:c r="J42" s="4"/>
      <x:c r="K42" s="4"/>
      <x:c r="L42" s="5"/>
    </x:row>
    <x:row r="43" ht="18" customHeight="1">
      <x:c r="A43" s="1"/>
      <x:c r="B43" s="1"/>
      <x:c r="C43" s="4"/>
      <x:c r="D43" s="4"/>
      <x:c r="E43" s="4"/>
      <x:c r="F43" s="4"/>
      <x:c r="G43" s="4"/>
      <x:c r="H43" s="4"/>
      <x:c r="I43" s="4"/>
      <x:c r="J43" s="4"/>
      <x:c r="K43" s="4"/>
      <x:c r="L43" s="5"/>
    </x:row>
    <x:row r="44" ht="18" customHeight="1">
      <x:c r="A44" s="1"/>
      <x:c r="B44" s="1"/>
      <x:c r="C44" s="4"/>
      <x:c r="D44" s="4"/>
      <x:c r="E44" s="4"/>
      <x:c r="F44" s="4"/>
      <x:c r="G44" s="4"/>
      <x:c r="H44" s="4"/>
      <x:c r="I44" s="4"/>
      <x:c r="J44" s="4"/>
      <x:c r="K44" s="4"/>
      <x:c r="L44" s="5"/>
    </x:row>
    <x:row r="45" ht="18" customHeight="1">
      <x:c r="A45" s="1"/>
      <x:c r="B45" s="1"/>
      <x:c r="C45" s="4"/>
      <x:c r="D45" s="4"/>
      <x:c r="E45" s="4"/>
      <x:c r="F45" s="4"/>
      <x:c r="G45" s="4"/>
      <x:c r="H45" s="4"/>
      <x:c r="I45" s="4"/>
      <x:c r="J45" s="4"/>
      <x:c r="K45" s="4"/>
      <x:c r="L45" s="5"/>
    </x:row>
    <x:row r="46" ht="18" customHeight="1">
      <x:c r="A46" s="1"/>
      <x:c r="B46" s="1"/>
      <x:c r="C46" s="4"/>
      <x:c r="D46" s="4"/>
      <x:c r="E46" s="4"/>
      <x:c r="F46" s="4"/>
      <x:c r="G46" s="4"/>
      <x:c r="H46" s="4"/>
      <x:c r="I46" s="4"/>
      <x:c r="J46" s="4"/>
      <x:c r="K46" s="4"/>
      <x:c r="L46" s="5"/>
    </x:row>
    <x:row r="47" ht="18" customHeight="1">
      <x:c r="A47" s="1"/>
      <x:c r="B47" s="1"/>
      <x:c r="C47" s="4"/>
      <x:c r="D47" s="4"/>
      <x:c r="E47" s="4"/>
      <x:c r="F47" s="4"/>
      <x:c r="G47" s="4"/>
      <x:c r="H47" s="4"/>
      <x:c r="I47" s="4"/>
      <x:c r="J47" s="4"/>
      <x:c r="K47" s="4"/>
      <x:c r="L47" s="5"/>
    </x:row>
    <x:row r="48" ht="18" customHeight="1">
      <x:c r="A48" s="1"/>
      <x:c r="B48" s="1"/>
      <x:c r="C48" s="4"/>
      <x:c r="D48" s="4"/>
      <x:c r="E48" s="4"/>
      <x:c r="F48" s="4"/>
      <x:c r="G48" s="4"/>
      <x:c r="H48" s="4"/>
      <x:c r="I48" s="4"/>
      <x:c r="J48" s="4"/>
      <x:c r="K48" s="4"/>
      <x:c r="L48" s="5"/>
    </x:row>
    <x:row r="49" ht="18" customHeight="1">
      <x:c r="A49" s="1"/>
      <x:c r="B49" s="1"/>
      <x:c r="C49" s="4"/>
      <x:c r="D49" s="4"/>
      <x:c r="E49" s="4"/>
      <x:c r="F49" s="4"/>
      <x:c r="G49" s="4"/>
      <x:c r="H49" s="4"/>
      <x:c r="I49" s="4"/>
      <x:c r="J49" s="4"/>
      <x:c r="K49" s="4"/>
      <x:c r="L49" s="5"/>
    </x:row>
    <x:row r="50" ht="18" customHeight="1">
      <x:c r="A50" s="1"/>
      <x:c r="B50" s="1"/>
      <x:c r="C50" s="4"/>
      <x:c r="D50" s="4"/>
      <x:c r="E50" s="4"/>
      <x:c r="F50" s="4"/>
      <x:c r="G50" s="4"/>
      <x:c r="H50" s="4"/>
      <x:c r="I50" s="4"/>
      <x:c r="J50" s="4"/>
      <x:c r="K50" s="4"/>
      <x:c r="L50" s="5"/>
    </x:row>
    <x:row r="51" ht="18" customHeight="1">
      <x:c r="A51" s="1"/>
      <x:c r="B51" s="1"/>
      <x:c r="C51" s="4"/>
      <x:c r="D51" s="4"/>
      <x:c r="E51" s="4"/>
      <x:c r="F51" s="4"/>
      <x:c r="G51" s="4"/>
      <x:c r="H51" s="4"/>
      <x:c r="I51" s="4"/>
      <x:c r="J51" s="4"/>
      <x:c r="K51" s="4"/>
      <x:c r="L51" s="5"/>
    </x:row>
    <x:row r="52" ht="18" customHeight="1">
      <x:c r="A52" s="1"/>
      <x:c r="B52" s="1"/>
      <x:c r="C52" s="4"/>
      <x:c r="D52" s="4"/>
      <x:c r="E52" s="4"/>
      <x:c r="F52" s="4"/>
      <x:c r="G52" s="4"/>
      <x:c r="H52" s="4"/>
      <x:c r="I52" s="4"/>
      <x:c r="J52" s="4"/>
      <x:c r="K52" s="4"/>
      <x:c r="L52" s="5"/>
    </x:row>
    <x:row r="53" ht="18" customHeight="1">
      <x:c r="A53" s="1"/>
      <x:c r="B53" s="1"/>
      <x:c r="C53" s="4"/>
      <x:c r="D53" s="4"/>
      <x:c r="E53" s="4"/>
      <x:c r="F53" s="4"/>
      <x:c r="G53" s="4"/>
      <x:c r="H53" s="4"/>
      <x:c r="I53" s="4"/>
      <x:c r="J53" s="4"/>
      <x:c r="K53" s="4"/>
      <x:c r="L53" s="5"/>
    </x:row>
    <x:row r="54" ht="18" customHeight="1">
      <x:c r="A54" s="1"/>
      <x:c r="B54" s="1"/>
      <x:c r="C54" s="4"/>
      <x:c r="D54" s="4"/>
      <x:c r="E54" s="4"/>
      <x:c r="F54" s="4"/>
      <x:c r="G54" s="4"/>
      <x:c r="H54" s="4"/>
      <x:c r="I54" s="4"/>
      <x:c r="J54" s="4"/>
      <x:c r="K54" s="4"/>
      <x:c r="L54" s="5"/>
    </x:row>
    <x:row r="55" ht="18" customHeight="1">
      <x:c r="A55" s="1"/>
      <x:c r="B55" s="1"/>
      <x:c r="C55" s="4"/>
      <x:c r="D55" s="4"/>
      <x:c r="E55" s="4"/>
      <x:c r="F55" s="4"/>
      <x:c r="G55" s="4"/>
      <x:c r="H55" s="4"/>
      <x:c r="I55" s="4"/>
      <x:c r="J55" s="4"/>
      <x:c r="K55" s="4"/>
      <x:c r="L55" s="5"/>
    </x:row>
    <x:row r="56" ht="18" customHeight="1">
      <x:c r="A56" s="1"/>
      <x:c r="B56" s="1"/>
      <x:c r="C56" s="4"/>
      <x:c r="D56" s="4"/>
      <x:c r="E56" s="4"/>
      <x:c r="F56" s="4"/>
      <x:c r="G56" s="4"/>
      <x:c r="H56" s="4"/>
      <x:c r="I56" s="4"/>
      <x:c r="J56" s="4"/>
      <x:c r="K56" s="4"/>
      <x:c r="L56" s="5"/>
    </x:row>
    <x:row r="57" ht="18" customHeight="1">
      <x:c r="A57" s="1"/>
      <x:c r="B57" s="1"/>
      <x:c r="C57" s="4"/>
      <x:c r="D57" s="4"/>
      <x:c r="E57" s="4"/>
      <x:c r="F57" s="4"/>
      <x:c r="G57" s="4"/>
      <x:c r="H57" s="4"/>
      <x:c r="I57" s="4"/>
      <x:c r="J57" s="4"/>
      <x:c r="K57" s="4"/>
      <x:c r="L57" s="5"/>
    </x:row>
    <x:row r="58" ht="18" customHeight="1">
      <x:c r="A58" s="1"/>
      <x:c r="B58" s="1"/>
      <x:c r="C58" s="4"/>
      <x:c r="D58" s="4"/>
      <x:c r="E58" s="4"/>
      <x:c r="F58" s="4"/>
      <x:c r="G58" s="4"/>
      <x:c r="H58" s="4"/>
      <x:c r="I58" s="4"/>
      <x:c r="J58" s="4"/>
      <x:c r="K58" s="4"/>
      <x:c r="L58" s="5"/>
    </x:row>
    <x:row r="59" ht="18" customHeight="1">
      <x:c r="A59" s="1"/>
      <x:c r="B59" s="1"/>
      <x:c r="C59" s="4"/>
      <x:c r="D59" s="4"/>
      <x:c r="E59" s="4"/>
      <x:c r="F59" s="4"/>
      <x:c r="G59" s="4"/>
      <x:c r="H59" s="4"/>
      <x:c r="I59" s="4"/>
      <x:c r="J59" s="4"/>
      <x:c r="K59" s="4"/>
      <x:c r="L59" s="5"/>
    </x:row>
    <x:row r="60" ht="18" customHeight="1">
      <x:c r="A60" s="1"/>
      <x:c r="B60" s="1"/>
      <x:c r="C60" s="4"/>
      <x:c r="D60" s="4"/>
      <x:c r="E60" s="4"/>
      <x:c r="F60" s="4"/>
      <x:c r="G60" s="4"/>
      <x:c r="H60" s="4"/>
      <x:c r="I60" s="4"/>
      <x:c r="J60" s="4"/>
      <x:c r="K60" s="4"/>
      <x:c r="L60" s="5"/>
    </x:row>
    <x:row r="61" ht="18" customHeight="1">
      <x:c r="A61" s="1"/>
      <x:c r="B61" s="1"/>
      <x:c r="C61" s="4"/>
      <x:c r="D61" s="4"/>
      <x:c r="E61" s="4"/>
      <x:c r="F61" s="4"/>
      <x:c r="G61" s="4"/>
      <x:c r="H61" s="4"/>
      <x:c r="I61" s="4"/>
      <x:c r="J61" s="4"/>
      <x:c r="K61" s="4"/>
      <x:c r="L61" s="5"/>
    </x:row>
    <x:row r="62" ht="18" customHeight="1">
      <x:c r="A62" s="1"/>
      <x:c r="B62" s="1"/>
      <x:c r="C62" s="4"/>
      <x:c r="D62" s="4"/>
      <x:c r="E62" s="4"/>
      <x:c r="F62" s="4"/>
      <x:c r="G62" s="4"/>
      <x:c r="H62" s="4"/>
      <x:c r="I62" s="4"/>
      <x:c r="J62" s="4"/>
      <x:c r="K62" s="4"/>
      <x:c r="L62" s="5"/>
    </x:row>
    <x:row r="63" ht="18" customHeight="1">
      <x:c r="A63" s="1"/>
      <x:c r="B63" s="1"/>
      <x:c r="C63" s="4"/>
      <x:c r="D63" s="4"/>
      <x:c r="E63" s="4"/>
      <x:c r="F63" s="4"/>
      <x:c r="G63" s="4"/>
      <x:c r="H63" s="4"/>
      <x:c r="I63" s="4"/>
      <x:c r="J63" s="4"/>
      <x:c r="K63" s="4"/>
      <x:c r="L63" s="5"/>
    </x:row>
    <x:row r="64" ht="18" customHeight="1">
      <x:c r="A64" s="1"/>
      <x:c r="B64" s="1"/>
      <x:c r="C64" s="4"/>
      <x:c r="D64" s="4"/>
      <x:c r="E64" s="4"/>
      <x:c r="F64" s="4"/>
      <x:c r="G64" s="4"/>
      <x:c r="H64" s="4"/>
      <x:c r="I64" s="4"/>
      <x:c r="J64" s="4"/>
      <x:c r="K64" s="4"/>
      <x:c r="L64" s="5"/>
    </x:row>
    <x:row r="65" ht="18" customHeight="1">
      <x:c r="A65" s="1"/>
      <x:c r="B65" s="1"/>
      <x:c r="C65" s="4"/>
      <x:c r="D65" s="4"/>
      <x:c r="E65" s="4"/>
      <x:c r="F65" s="4"/>
      <x:c r="G65" s="4"/>
      <x:c r="H65" s="4"/>
      <x:c r="I65" s="4"/>
      <x:c r="J65" s="4"/>
      <x:c r="K65" s="4"/>
      <x:c r="L65" s="5"/>
    </x:row>
    <x:row r="66" ht="18" customHeight="1">
      <x:c r="A66" s="1"/>
      <x:c r="B66" s="1"/>
      <x:c r="C66" s="4"/>
      <x:c r="D66" s="4"/>
      <x:c r="E66" s="4"/>
      <x:c r="F66" s="4"/>
      <x:c r="G66" s="4"/>
      <x:c r="H66" s="4"/>
      <x:c r="I66" s="4"/>
      <x:c r="J66" s="4"/>
      <x:c r="K66" s="4"/>
      <x:c r="L66" s="5"/>
    </x:row>
    <x:row r="67" ht="18" customHeight="1">
      <x:c r="A67" s="1"/>
      <x:c r="B67" s="1"/>
      <x:c r="C67" s="4"/>
      <x:c r="D67" s="4"/>
      <x:c r="E67" s="4"/>
      <x:c r="F67" s="4"/>
      <x:c r="G67" s="4"/>
      <x:c r="H67" s="4"/>
      <x:c r="I67" s="4"/>
      <x:c r="J67" s="4"/>
      <x:c r="K67" s="4"/>
      <x:c r="L67" s="5"/>
    </x:row>
    <x:row r="68" ht="18" customHeight="1">
      <x:c r="A68" s="1"/>
      <x:c r="B68" s="1"/>
      <x:c r="C68" s="4"/>
      <x:c r="D68" s="4"/>
      <x:c r="E68" s="4"/>
      <x:c r="F68" s="4"/>
      <x:c r="G68" s="4"/>
      <x:c r="H68" s="4"/>
      <x:c r="I68" s="4"/>
      <x:c r="J68" s="4"/>
      <x:c r="K68" s="4"/>
      <x:c r="L68" s="5"/>
    </x:row>
    <x:row r="69" ht="18" customHeight="1">
      <x:c r="A69" s="1"/>
      <x:c r="B69" s="1"/>
      <x:c r="C69" s="4"/>
      <x:c r="D69" s="4"/>
      <x:c r="E69" s="4"/>
      <x:c r="F69" s="4"/>
      <x:c r="G69" s="4"/>
      <x:c r="H69" s="4"/>
      <x:c r="I69" s="4"/>
      <x:c r="J69" s="4"/>
      <x:c r="K69" s="4"/>
      <x:c r="L69" s="5"/>
    </x:row>
    <x:row r="70" ht="18" customHeight="1">
      <x:c r="A70" s="1"/>
      <x:c r="B70" s="1"/>
      <x:c r="C70" s="4"/>
      <x:c r="D70" s="4"/>
      <x:c r="E70" s="4"/>
      <x:c r="F70" s="4"/>
      <x:c r="G70" s="4"/>
      <x:c r="H70" s="4"/>
      <x:c r="I70" s="4"/>
      <x:c r="J70" s="4"/>
      <x:c r="K70" s="4"/>
      <x:c r="L70" s="5"/>
    </x:row>
    <x:row r="71" ht="18" customHeight="1">
      <x:c r="A71" s="1"/>
      <x:c r="B71" s="1"/>
      <x:c r="C71" s="4"/>
      <x:c r="D71" s="4"/>
      <x:c r="E71" s="4"/>
      <x:c r="F71" s="4"/>
      <x:c r="G71" s="4"/>
      <x:c r="H71" s="4"/>
      <x:c r="I71" s="4"/>
      <x:c r="J71" s="4"/>
      <x:c r="K71" s="4"/>
      <x:c r="L71" s="5"/>
    </x:row>
    <x:row r="72" ht="18" customHeight="1">
      <x:c r="A72" s="1"/>
      <x:c r="B72" s="1"/>
      <x:c r="C72" s="4"/>
      <x:c r="D72" s="4"/>
      <x:c r="E72" s="4"/>
      <x:c r="F72" s="4"/>
      <x:c r="G72" s="4"/>
      <x:c r="H72" s="4"/>
      <x:c r="I72" s="4"/>
      <x:c r="J72" s="4"/>
      <x:c r="K72" s="4"/>
      <x:c r="L72" s="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F343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6" hidden="0" customWidth="1"/>
    <x:col min="2" max="2" width="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8" customHeight="1">
      <x:c r="A1" s="88" t="str">
        <x:v>Historical Financial Statements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</x:row>
    <x:row r="2" ht="19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9" customHeight="1">
      <x:c r="A3" s="1" t="str">
        <x:v>Pricol Limited | Consolidated | INR crore, except per-share data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19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19" customHeight="1">
      <x:c r="A5" s="91" t="str">
        <x:v>Metric</x:v>
      </x:c>
      <x:c r="B5" s="91"/>
      <x:c r="C5" s="91" t="str">
        <x:v>FY2022A</x:v>
      </x:c>
      <x:c r="D5" s="91" t="str">
        <x:v>FY2023A</x:v>
      </x:c>
      <x:c r="E5" s="91" t="str">
        <x:v>FY2024A</x:v>
      </x:c>
      <x:c r="F5" s="91" t="str">
        <x:v>FY2025A</x:v>
      </x:c>
      <x:c r="G5" s="91" t="str">
        <x:v>FY2026A</x:v>
      </x:c>
      <x:c r="H5" s="91"/>
      <x:c r="I5" s="91"/>
      <x:c r="J5" s="91"/>
      <x:c r="K5" s="91"/>
      <x:c r="L5" s="91"/>
    </x:row>
    <x:row r="6" ht="19" customHeight="1">
      <x:c r="A6" s="1"/>
      <x:c r="B6" s="1"/>
      <x:c r="C6" s="4"/>
      <x:c r="D6" s="4"/>
      <x:c r="E6" s="4"/>
      <x:c r="F6" s="4"/>
      <x:c r="G6" s="4"/>
      <x:c r="H6" s="4"/>
      <x:c r="I6" s="4"/>
      <x:c r="J6" s="4"/>
      <x:c r="K6" s="4"/>
      <x:c r="L6" s="4"/>
    </x:row>
    <x:row r="7" ht="19" customHeight="1">
      <x:c r="A7" s="94" t="str">
        <x:v>Income statement</x:v>
      </x:c>
      <x:c r="B7" s="94"/>
      <x:c r="C7" s="95"/>
      <x:c r="D7" s="95"/>
      <x:c r="E7" s="95"/>
      <x:c r="F7" s="95"/>
      <x:c r="G7" s="95"/>
      <x:c r="H7" s="4"/>
      <x:c r="I7" s="4"/>
      <x:c r="J7" s="4"/>
      <x:c r="K7" s="4"/>
      <x:c r="L7" s="4"/>
    </x:row>
    <x:row r="8" ht="19" customHeight="1">
      <x:c r="A8" s="1" t="str">
        <x:v>Revenue including other operating revenue</x:v>
      </x:c>
      <x:c r="B8" s="1"/>
      <x:c r="C8" s="24" t="n">
        <x:v>1544.6929</x:v>
      </x:c>
      <x:c r="D8" s="24" t="n">
        <x:v>1958.5607</x:v>
      </x:c>
      <x:c r="E8" s="24" t="n">
        <x:v>2271.7823</x:v>
      </x:c>
      <x:c r="F8" s="24" t="n">
        <x:v>2691.92</x:v>
      </x:c>
      <x:c r="G8" s="24" t="n">
        <x:v>4040.8</x:v>
      </x:c>
      <x:c r="H8" s="4"/>
      <x:c r="I8" s="4"/>
      <x:c r="J8" s="4"/>
      <x:c r="K8" s="4"/>
      <x:c r="L8" s="4"/>
    </x:row>
    <x:row r="9" ht="19" customHeight="1">
      <x:c r="A9" s="1" t="str">
        <x:v>Other income</x:v>
      </x:c>
      <x:c r="B9" s="1"/>
      <x:c r="C9" s="24" t="n">
        <x:v>8.8206</x:v>
      </x:c>
      <x:c r="D9" s="24" t="n">
        <x:v>4.5853</x:v>
      </x:c>
      <x:c r="E9" s="24" t="n">
        <x:v>13.1583</x:v>
      </x:c>
      <x:c r="F9" s="24" t="n">
        <x:v>16.64</x:v>
      </x:c>
      <x:c r="G9" s="24" t="n">
        <x:v>11.57</x:v>
      </x:c>
      <x:c r="H9" s="4"/>
      <x:c r="I9" s="4"/>
      <x:c r="J9" s="4"/>
      <x:c r="K9" s="4"/>
      <x:c r="L9" s="4"/>
    </x:row>
    <x:row r="10" ht="19" customHeight="1">
      <x:c r="A10" s="74" t="str">
        <x:v>Reported total income</x:v>
      </x:c>
      <x:c r="B10" s="74"/>
      <x:c r="C10" s="76" t="n">
        <x:v>1553.5135</x:v>
      </x:c>
      <x:c r="D10" s="76" t="n">
        <x:v>1963.146</x:v>
      </x:c>
      <x:c r="E10" s="76" t="n">
        <x:v>2284.9406</x:v>
      </x:c>
      <x:c r="F10" s="76" t="n">
        <x:v>2708.56</x:v>
      </x:c>
      <x:c r="G10" s="76" t="n">
        <x:v>4052.37</x:v>
      </x:c>
      <x:c r="H10" s="4"/>
      <x:c r="I10" s="4"/>
      <x:c r="J10" s="4"/>
      <x:c r="K10" s="4"/>
      <x:c r="L10" s="4"/>
    </x:row>
    <x:row r="11" ht="19" customHeight="1">
      <x:c r="A11" s="1" t="str">
        <x:v>Operating expenses excluding D&amp;A</x:v>
      </x:c>
      <x:c r="B11" s="1"/>
      <x:c r="C11" s="4" t="n">
        <x:f>SUM(C65:C69)</x:f>
        <x:v>1364.1128</x:v>
      </x:c>
      <x:c r="D11" s="4" t="n">
        <x:f>SUM(D65:D69)</x:f>
        <x:v>1730.0857</x:v>
      </x:c>
      <x:c r="E11" s="4" t="n">
        <x:f>SUM(E65:E69)</x:f>
        <x:v>1998.7254</x:v>
      </x:c>
      <x:c r="F11" s="4" t="n">
        <x:f>SUM(F65:F69)</x:f>
        <x:v>2379.03</x:v>
      </x:c>
      <x:c r="G11" s="4" t="n">
        <x:f>SUM(G65:G69)</x:f>
        <x:v>3571.43</x:v>
      </x:c>
      <x:c r="H11" s="4"/>
      <x:c r="I11" s="4"/>
      <x:c r="J11" s="4"/>
      <x:c r="K11" s="4"/>
      <x:c r="L11" s="4"/>
    </x:row>
    <x:row r="12" ht="19" customHeight="1">
      <x:c r="A12" s="1" t="str">
        <x:v>Depreciation and amortisation</x:v>
      </x:c>
      <x:c r="B12" s="1"/>
      <x:c r="C12" s="24" t="n">
        <x:v>81.839</x:v>
      </x:c>
      <x:c r="D12" s="24" t="n">
        <x:v>77.9078</x:v>
      </x:c>
      <x:c r="E12" s="24" t="n">
        <x:v>82.0606</x:v>
      </x:c>
      <x:c r="F12" s="24" t="n">
        <x:v>89.75</x:v>
      </x:c>
      <x:c r="G12" s="24" t="n">
        <x:v>119.96</x:v>
      </x:c>
      <x:c r="H12" s="4"/>
      <x:c r="I12" s="4"/>
      <x:c r="J12" s="4"/>
      <x:c r="K12" s="4"/>
      <x:c r="L12" s="4"/>
    </x:row>
    <x:row r="13" ht="19" customHeight="1">
      <x:c r="A13" s="1" t="str">
        <x:v>Finance costs</x:v>
      </x:c>
      <x:c r="B13" s="1"/>
      <x:c r="C13" s="24" t="n">
        <x:v>27.2823</x:v>
      </x:c>
      <x:c r="D13" s="24" t="n">
        <x:v>18.2825</x:v>
      </x:c>
      <x:c r="E13" s="24" t="n">
        <x:v>18.25</x:v>
      </x:c>
      <x:c r="F13" s="24" t="n">
        <x:v>13.17</x:v>
      </x:c>
      <x:c r="G13" s="24" t="n">
        <x:v>30.04</x:v>
      </x:c>
      <x:c r="H13" s="4"/>
      <x:c r="I13" s="4"/>
      <x:c r="J13" s="4"/>
      <x:c r="K13" s="4"/>
      <x:c r="L13" s="4"/>
    </x:row>
    <x:row r="14" ht="19" customHeight="1">
      <x:c r="A14" s="74" t="str">
        <x:v>Reported profit before tax</x:v>
      </x:c>
      <x:c r="B14" s="74"/>
      <x:c r="C14" s="76" t="n">
        <x:v>80.2794</x:v>
      </x:c>
      <x:c r="D14" s="76" t="n">
        <x:v>146.62</x:v>
      </x:c>
      <x:c r="E14" s="76" t="n">
        <x:v>185.9046</x:v>
      </x:c>
      <x:c r="F14" s="76" t="n">
        <x:v>226.61</x:v>
      </x:c>
      <x:c r="G14" s="76" t="n">
        <x:v>330.94</x:v>
      </x:c>
      <x:c r="H14" s="4"/>
      <x:c r="I14" s="4"/>
      <x:c r="J14" s="4"/>
      <x:c r="K14" s="4"/>
      <x:c r="L14" s="4"/>
    </x:row>
    <x:row r="15" ht="19" customHeight="1">
      <x:c r="A15" s="1" t="str">
        <x:v>Tax expense</x:v>
      </x:c>
      <x:c r="B15" s="1"/>
      <x:c r="C15" s="4" t="n">
        <x:f>SUM(C70:C72)</x:f>
        <x:v>29.185700000000004</x:v>
      </x:c>
      <x:c r="D15" s="4" t="n">
        <x:f>SUM(D70:D72)</x:f>
        <x:v>21.934700000000003</x:v>
      </x:c>
      <x:c r="E15" s="4" t="n">
        <x:f>SUM(E70:E72)</x:f>
        <x:v>45.293099999999995</x:v>
      </x:c>
      <x:c r="F15" s="4" t="n">
        <x:f>SUM(F70:F72)</x:f>
        <x:v>59.580000000000005</x:v>
      </x:c>
      <x:c r="G15" s="4" t="n">
        <x:f>SUM(G70:G72)</x:f>
        <x:v>80.14</x:v>
      </x:c>
      <x:c r="H15" s="4"/>
      <x:c r="I15" s="4"/>
      <x:c r="J15" s="4"/>
      <x:c r="K15" s="4"/>
      <x:c r="L15" s="4"/>
    </x:row>
    <x:row r="16" ht="19" customHeight="1">
      <x:c r="A16" s="74" t="str">
        <x:v>Reported profit after tax</x:v>
      </x:c>
      <x:c r="B16" s="74"/>
      <x:c r="C16" s="76" t="n">
        <x:v>51.0937</x:v>
      </x:c>
      <x:c r="D16" s="76" t="n">
        <x:v>124.6853</x:v>
      </x:c>
      <x:c r="E16" s="76" t="n">
        <x:v>140.6115</x:v>
      </x:c>
      <x:c r="F16" s="76" t="n">
        <x:v>167.03</x:v>
      </x:c>
      <x:c r="G16" s="76" t="n">
        <x:v>250.8</x:v>
      </x:c>
      <x:c r="H16" s="4"/>
      <x:c r="I16" s="4"/>
      <x:c r="J16" s="4"/>
      <x:c r="K16" s="4"/>
      <x:c r="L16" s="4"/>
    </x:row>
    <x:row r="17" ht="19" customHeight="1">
      <x:c r="A17" s="1" t="str">
        <x:v>Profit attributable to owners</x:v>
      </x:c>
      <x:c r="B17" s="1"/>
      <x:c r="C17" s="24" t="n">
        <x:v>51.0937</x:v>
      </x:c>
      <x:c r="D17" s="24" t="n">
        <x:v>124.6853</x:v>
      </x:c>
      <x:c r="E17" s="24" t="n">
        <x:v>140.6115</x:v>
      </x:c>
      <x:c r="F17" s="24" t="n">
        <x:v>167.03</x:v>
      </x:c>
      <x:c r="G17" s="24" t="n">
        <x:v>250.8</x:v>
      </x:c>
      <x:c r="H17" s="4"/>
      <x:c r="I17" s="4"/>
      <x:c r="J17" s="4"/>
      <x:c r="K17" s="4"/>
      <x:c r="L17" s="4"/>
    </x:row>
    <x:row r="18" ht="19" customHeight="1">
      <x:c r="A18" s="74" t="str">
        <x:v>Operating EBITDA</x:v>
      </x:c>
      <x:c r="B18" s="74"/>
      <x:c r="C18" s="78" t="n">
        <x:f>C8-C11</x:f>
        <x:v>180.5800999999999</x:v>
      </x:c>
      <x:c r="D18" s="78" t="n">
        <x:f>D8-D11</x:f>
        <x:v>228.4749999999999</x:v>
      </x:c>
      <x:c r="E18" s="78" t="n">
        <x:f>E8-E11</x:f>
        <x:v>273.0568999999998</x:v>
      </x:c>
      <x:c r="F18" s="78" t="n">
        <x:f>F8-F11</x:f>
        <x:v>312.8899999999999</x:v>
      </x:c>
      <x:c r="G18" s="78" t="n">
        <x:f>G8-G11</x:f>
        <x:v>469.37000000000035</x:v>
      </x:c>
      <x:c r="H18" s="4"/>
      <x:c r="I18" s="4"/>
      <x:c r="J18" s="4"/>
      <x:c r="K18" s="4"/>
      <x:c r="L18" s="4"/>
    </x:row>
    <x:row r="19" ht="19" customHeight="1">
      <x:c r="A19" s="1" t="str">
        <x:v>Operating EBIT</x:v>
      </x:c>
      <x:c r="B19" s="1"/>
      <x:c r="C19" s="4" t="n">
        <x:f>C18-C12</x:f>
        <x:v>98.7410999999999</x:v>
      </x:c>
      <x:c r="D19" s="4" t="n">
        <x:f>D18-D12</x:f>
        <x:v>150.5671999999999</x:v>
      </x:c>
      <x:c r="E19" s="4" t="n">
        <x:f>E18-E12</x:f>
        <x:v>190.99629999999982</x:v>
      </x:c>
      <x:c r="F19" s="4" t="n">
        <x:f>F18-F12</x:f>
        <x:v>223.13999999999987</x:v>
      </x:c>
      <x:c r="G19" s="4" t="n">
        <x:f>G18-G12</x:f>
        <x:v>349.41000000000037</x:v>
      </x:c>
      <x:c r="H19" s="4"/>
      <x:c r="I19" s="4"/>
      <x:c r="J19" s="4"/>
      <x:c r="K19" s="4"/>
      <x:c r="L19" s="4"/>
    </x:row>
    <x:row r="20" ht="19" customHeight="1">
      <x:c r="A20" s="1" t="str">
        <x:v>Exceptional income</x:v>
      </x:c>
      <x:c r="B20" s="1"/>
      <x:c r="C20" s="24" t="n">
        <x:v>0</x:v>
      </x:c>
      <x:c r="D20" s="24" t="n">
        <x:v>9.75</x:v>
      </x:c>
      <x:c r="E20" s="24" t="n">
        <x:v>0</x:v>
      </x:c>
      <x:c r="F20" s="24" t="n">
        <x:v>0</x:v>
      </x:c>
      <x:c r="G20" s="24" t="n">
        <x:v>0</x:v>
      </x:c>
      <x:c r="H20" s="4"/>
      <x:c r="I20" s="4"/>
      <x:c r="J20" s="4"/>
      <x:c r="K20" s="4"/>
      <x:c r="L20" s="4"/>
    </x:row>
    <x:row r="21" ht="19" customHeight="1">
      <x:c r="A21" s="94" t="str">
        <x:v>Assets</x:v>
      </x:c>
      <x:c r="B21" s="94"/>
      <x:c r="C21" s="96"/>
      <x:c r="D21" s="96"/>
      <x:c r="E21" s="96"/>
      <x:c r="F21" s="96"/>
      <x:c r="G21" s="96"/>
      <x:c r="H21" s="4"/>
      <x:c r="I21" s="4"/>
      <x:c r="J21" s="4"/>
      <x:c r="K21" s="4"/>
      <x:c r="L21" s="4"/>
    </x:row>
    <x:row r="22" ht="19" customHeight="1">
      <x:c r="A22" s="1" t="str">
        <x:v>Property, plant and equipment</x:v>
      </x:c>
      <x:c r="B22" s="1"/>
      <x:c r="C22" s="24" t="n">
        <x:v>374.3544</x:v>
      </x:c>
      <x:c r="D22" s="24" t="n">
        <x:v>395.8629</x:v>
      </x:c>
      <x:c r="E22" s="24" t="n">
        <x:v>459.2005</x:v>
      </x:c>
      <x:c r="F22" s="24" t="n">
        <x:v>706.52</x:v>
      </x:c>
      <x:c r="G22" s="24" t="n">
        <x:v>860.08</x:v>
      </x:c>
      <x:c r="H22" s="4"/>
      <x:c r="I22" s="4"/>
      <x:c r="J22" s="4"/>
      <x:c r="K22" s="4"/>
      <x:c r="L22" s="4"/>
    </x:row>
    <x:row r="23" ht="19" customHeight="1">
      <x:c r="A23" s="1" t="str">
        <x:v>Capital work in progress</x:v>
      </x:c>
      <x:c r="B23" s="1"/>
      <x:c r="C23" s="24" t="n">
        <x:v>8.4404</x:v>
      </x:c>
      <x:c r="D23" s="24" t="n">
        <x:v>13.9856</x:v>
      </x:c>
      <x:c r="E23" s="24" t="n">
        <x:v>37.9008</x:v>
      </x:c>
      <x:c r="F23" s="24" t="n">
        <x:v>69.9</x:v>
      </x:c>
      <x:c r="G23" s="24" t="n">
        <x:v>111.5</x:v>
      </x:c>
      <x:c r="H23" s="4"/>
      <x:c r="I23" s="4"/>
      <x:c r="J23" s="4"/>
      <x:c r="K23" s="4"/>
      <x:c r="L23" s="4"/>
    </x:row>
    <x:row r="24" ht="19" customHeight="1">
      <x:c r="A24" s="1" t="str">
        <x:v>Right-of-use assets</x:v>
      </x:c>
      <x:c r="B24" s="1"/>
      <x:c r="C24" s="24" t="n">
        <x:v>39.1692</x:v>
      </x:c>
      <x:c r="D24" s="24" t="n">
        <x:v>34.4636</x:v>
      </x:c>
      <x:c r="E24" s="24" t="n">
        <x:v>27.7177</x:v>
      </x:c>
      <x:c r="F24" s="24" t="n">
        <x:v>26.35</x:v>
      </x:c>
      <x:c r="G24" s="24" t="n">
        <x:v>73.05</x:v>
      </x:c>
      <x:c r="H24" s="4"/>
      <x:c r="I24" s="4"/>
      <x:c r="J24" s="4"/>
      <x:c r="K24" s="4"/>
      <x:c r="L24" s="4"/>
    </x:row>
    <x:row r="25" ht="19" customHeight="1">
      <x:c r="A25" s="1" t="str">
        <x:v>Goodwill and intangible assets</x:v>
      </x:c>
      <x:c r="B25" s="1"/>
      <x:c r="C25" s="4" t="n">
        <x:f>SUM(C73:C75)</x:f>
        <x:v>182.9103</x:v>
      </x:c>
      <x:c r="D25" s="4" t="n">
        <x:f>SUM(D73:D75)</x:f>
        <x:v>160.4575</x:v>
      </x:c>
      <x:c r="E25" s="4" t="n">
        <x:f>SUM(E73:E75)</x:f>
        <x:v>138.3926</x:v>
      </x:c>
      <x:c r="F25" s="4" t="n">
        <x:f>SUM(F73:F75)</x:f>
        <x:v>132.09</x:v>
      </x:c>
      <x:c r="G25" s="4" t="n">
        <x:f>SUM(G73:G75)</x:f>
        <x:v>105.53999999999999</x:v>
      </x:c>
      <x:c r="H25" s="4"/>
      <x:c r="I25" s="4"/>
      <x:c r="J25" s="4"/>
      <x:c r="K25" s="4"/>
      <x:c r="L25" s="4"/>
    </x:row>
    <x:row r="26" ht="19" customHeight="1">
      <x:c r="A26" s="1" t="str">
        <x:v>Other non-current assets</x:v>
      </x:c>
      <x:c r="B26" s="1"/>
      <x:c r="C26" s="4" t="n">
        <x:f>SUM(C76:C81)</x:f>
        <x:v>44.6012</x:v>
      </x:c>
      <x:c r="D26" s="4" t="n">
        <x:f>SUM(D76:D81)</x:f>
        <x:v>39.0351</x:v>
      </x:c>
      <x:c r="E26" s="4" t="n">
        <x:f>SUM(E76:E81)</x:f>
        <x:v>29.475699999999996</x:v>
      </x:c>
      <x:c r="F26" s="4" t="n">
        <x:f>SUM(F76:F81)</x:f>
        <x:v>34.209999999999994</x:v>
      </x:c>
      <x:c r="G26" s="4" t="n">
        <x:f>SUM(G76:G81)</x:f>
        <x:v>32.91</x:v>
      </x:c>
      <x:c r="H26" s="4"/>
      <x:c r="I26" s="4"/>
      <x:c r="J26" s="4"/>
      <x:c r="K26" s="4"/>
      <x:c r="L26" s="4"/>
    </x:row>
    <x:row r="27" ht="19" customHeight="1">
      <x:c r="A27" s="1" t="str">
        <x:v>Inventories</x:v>
      </x:c>
      <x:c r="B27" s="1"/>
      <x:c r="C27" s="24" t="n">
        <x:v>236.4727</x:v>
      </x:c>
      <x:c r="D27" s="24" t="n">
        <x:v>271.6792</x:v>
      </x:c>
      <x:c r="E27" s="24" t="n">
        <x:v>320.265</x:v>
      </x:c>
      <x:c r="F27" s="24" t="n">
        <x:v>362.63</x:v>
      </x:c>
      <x:c r="G27" s="24" t="n">
        <x:v>539.33</x:v>
      </x:c>
      <x:c r="H27" s="4"/>
      <x:c r="I27" s="4"/>
      <x:c r="J27" s="4"/>
      <x:c r="K27" s="4"/>
      <x:c r="L27" s="4"/>
    </x:row>
    <x:row r="28" ht="19" customHeight="1">
      <x:c r="A28" s="1" t="str">
        <x:v>Trade receivables</x:v>
      </x:c>
      <x:c r="B28" s="1"/>
      <x:c r="C28" s="24" t="n">
        <x:v>238.9208</x:v>
      </x:c>
      <x:c r="D28" s="24" t="n">
        <x:v>268.9791</x:v>
      </x:c>
      <x:c r="E28" s="24" t="n">
        <x:v>287.0407</x:v>
      </x:c>
      <x:c r="F28" s="24" t="n">
        <x:v>472.74</x:v>
      </x:c>
      <x:c r="G28" s="24" t="n">
        <x:v>577.8</x:v>
      </x:c>
      <x:c r="H28" s="4"/>
      <x:c r="I28" s="4"/>
      <x:c r="J28" s="4"/>
      <x:c r="K28" s="4"/>
      <x:c r="L28" s="4"/>
    </x:row>
    <x:row r="29" ht="19" customHeight="1">
      <x:c r="A29" s="1" t="str">
        <x:v>Cash and cash equivalents</x:v>
      </x:c>
      <x:c r="B29" s="1"/>
      <x:c r="C29" s="24" t="n">
        <x:v>22.5859</x:v>
      </x:c>
      <x:c r="D29" s="24" t="n">
        <x:v>55.9968</x:v>
      </x:c>
      <x:c r="E29" s="24" t="n">
        <x:v>112.5423</x:v>
      </x:c>
      <x:c r="F29" s="24" t="n">
        <x:v>101.08</x:v>
      </x:c>
      <x:c r="G29" s="24" t="n">
        <x:v>117.9</x:v>
      </x:c>
      <x:c r="H29" s="4"/>
      <x:c r="I29" s="4"/>
      <x:c r="J29" s="4"/>
      <x:c r="K29" s="4"/>
      <x:c r="L29" s="4"/>
    </x:row>
    <x:row r="30" ht="19" customHeight="1">
      <x:c r="A30" s="1" t="str">
        <x:v>Current investments</x:v>
      </x:c>
      <x:c r="B30" s="1"/>
      <x:c r="C30" s="24" t="n">
        <x:v>2.1302</x:v>
      </x:c>
      <x:c r="D30" s="24" t="n">
        <x:v>3.6392</x:v>
      </x:c>
      <x:c r="E30" s="24" t="n">
        <x:v>5.1685</x:v>
      </x:c>
      <x:c r="F30" s="24" t="n">
        <x:v>6.94</x:v>
      </x:c>
      <x:c r="G30" s="24" t="n">
        <x:v>6.86</x:v>
      </x:c>
      <x:c r="H30" s="4"/>
      <x:c r="I30" s="4"/>
      <x:c r="J30" s="4"/>
      <x:c r="K30" s="4"/>
      <x:c r="L30" s="4"/>
    </x:row>
    <x:row r="31" ht="19" customHeight="1">
      <x:c r="A31" s="1" t="str">
        <x:v>Other current assets / assets held for sale</x:v>
      </x:c>
      <x:c r="B31" s="1"/>
      <x:c r="C31" s="4" t="n">
        <x:f>SUM(C82:C85)</x:f>
        <x:v>49.169799999999995</x:v>
      </x:c>
      <x:c r="D31" s="4" t="n">
        <x:f>SUM(D82:D85)</x:f>
        <x:v>63.4059</x:v>
      </x:c>
      <x:c r="E31" s="4" t="n">
        <x:f>SUM(E82:E85)</x:f>
        <x:v>17.9343</x:v>
      </x:c>
      <x:c r="F31" s="4" t="n">
        <x:f>SUM(F82:F85)</x:f>
        <x:v>36.9</x:v>
      </x:c>
      <x:c r="G31" s="4" t="n">
        <x:f>SUM(G82:G85)</x:f>
        <x:v>50.330000000000005</x:v>
      </x:c>
      <x:c r="H31" s="4"/>
      <x:c r="I31" s="4"/>
      <x:c r="J31" s="4"/>
      <x:c r="K31" s="4"/>
      <x:c r="L31" s="4"/>
    </x:row>
    <x:row r="32" ht="19" customHeight="1">
      <x:c r="A32" s="74" t="str">
        <x:v>Reported total assets</x:v>
      </x:c>
      <x:c r="B32" s="74"/>
      <x:c r="C32" s="76" t="n">
        <x:v>1198.7549</x:v>
      </x:c>
      <x:c r="D32" s="76" t="n">
        <x:v>1307.5049</x:v>
      </x:c>
      <x:c r="E32" s="76" t="n">
        <x:v>1435.6381</x:v>
      </x:c>
      <x:c r="F32" s="76" t="n">
        <x:v>1949.36</x:v>
      </x:c>
      <x:c r="G32" s="76" t="n">
        <x:v>2475.3</x:v>
      </x:c>
      <x:c r="H32" s="4"/>
      <x:c r="I32" s="4"/>
      <x:c r="J32" s="4"/>
      <x:c r="K32" s="4"/>
      <x:c r="L32" s="4"/>
    </x:row>
    <x:row r="33" ht="19" customHeight="1">
      <x:c r="A33" s="1"/>
      <x:c r="B33" s="1"/>
      <x:c r="C33" s="24"/>
      <x:c r="D33" s="24"/>
      <x:c r="E33" s="24"/>
      <x:c r="F33" s="24"/>
      <x:c r="G33" s="24"/>
      <x:c r="H33" s="4"/>
      <x:c r="I33" s="4"/>
      <x:c r="J33" s="4"/>
      <x:c r="K33" s="4"/>
      <x:c r="L33" s="4"/>
    </x:row>
    <x:row r="34" ht="19" customHeight="1">
      <x:c r="A34" s="1"/>
      <x:c r="B34" s="1"/>
      <x:c r="C34" s="24"/>
      <x:c r="D34" s="24"/>
      <x:c r="E34" s="24"/>
      <x:c r="F34" s="24"/>
      <x:c r="G34" s="24"/>
      <x:c r="H34" s="4"/>
      <x:c r="I34" s="4"/>
      <x:c r="J34" s="4"/>
      <x:c r="K34" s="4"/>
      <x:c r="L34" s="4"/>
    </x:row>
    <x:row r="35" ht="19" customHeight="1">
      <x:c r="A35" s="94" t="str">
        <x:v>Equity and liabilities</x:v>
      </x:c>
      <x:c r="B35" s="94"/>
      <x:c r="C35" s="96"/>
      <x:c r="D35" s="96"/>
      <x:c r="E35" s="96"/>
      <x:c r="F35" s="96"/>
      <x:c r="G35" s="96"/>
      <x:c r="H35" s="4"/>
      <x:c r="I35" s="4"/>
      <x:c r="J35" s="4"/>
      <x:c r="K35" s="4"/>
      <x:c r="L35" s="4"/>
    </x:row>
    <x:row r="36" ht="19" customHeight="1">
      <x:c r="A36" s="1" t="str">
        <x:v>Share capital</x:v>
      </x:c>
      <x:c r="B36" s="1"/>
      <x:c r="C36" s="24" t="n">
        <x:v>12.1881</x:v>
      </x:c>
      <x:c r="D36" s="24" t="n">
        <x:v>12.1881</x:v>
      </x:c>
      <x:c r="E36" s="24" t="n">
        <x:v>12.1881</x:v>
      </x:c>
      <x:c r="F36" s="24" t="n">
        <x:v>12.19</x:v>
      </x:c>
      <x:c r="G36" s="24" t="n">
        <x:v>12.19</x:v>
      </x:c>
      <x:c r="H36" s="4"/>
      <x:c r="I36" s="4"/>
      <x:c r="J36" s="4"/>
      <x:c r="K36" s="4"/>
      <x:c r="L36" s="4"/>
    </x:row>
    <x:row r="37" ht="19" customHeight="1">
      <x:c r="A37" s="1" t="str">
        <x:v>Other equity</x:v>
      </x:c>
      <x:c r="B37" s="1"/>
      <x:c r="C37" s="24" t="n">
        <x:v>563.9943</x:v>
      </x:c>
      <x:c r="D37" s="24" t="n">
        <x:v>692.0946</x:v>
      </x:c>
      <x:c r="E37" s="24" t="n">
        <x:v>833.084</x:v>
      </x:c>
      <x:c r="F37" s="24" t="n">
        <x:v>1003.84</x:v>
      </x:c>
      <x:c r="G37" s="24" t="n">
        <x:v>1242.7</x:v>
      </x:c>
      <x:c r="H37" s="4"/>
      <x:c r="I37" s="4"/>
      <x:c r="J37" s="4"/>
      <x:c r="K37" s="4"/>
      <x:c r="L37" s="4"/>
    </x:row>
    <x:row r="38" ht="19" customHeight="1">
      <x:c r="A38" s="1" t="str">
        <x:v>Non-controlling interests</x:v>
      </x:c>
      <x:c r="B38" s="1"/>
      <x:c r="C38" s="24" t="n">
        <x:v>0</x:v>
      </x:c>
      <x:c r="D38" s="24" t="n">
        <x:v>0</x:v>
      </x:c>
      <x:c r="E38" s="24" t="n">
        <x:v>0</x:v>
      </x:c>
      <x:c r="F38" s="24" t="n">
        <x:v>0</x:v>
      </x:c>
      <x:c r="G38" s="24" t="n">
        <x:v>0</x:v>
      </x:c>
      <x:c r="H38" s="4"/>
      <x:c r="I38" s="4"/>
      <x:c r="J38" s="4"/>
      <x:c r="K38" s="4"/>
      <x:c r="L38" s="4"/>
    </x:row>
    <x:row r="39" ht="19" customHeight="1">
      <x:c r="A39" s="1" t="str">
        <x:v>Non-current borrowings</x:v>
      </x:c>
      <x:c r="B39" s="1"/>
      <x:c r="C39" s="24" t="n">
        <x:v>93.1098</x:v>
      </x:c>
      <x:c r="D39" s="24" t="n">
        <x:v>26.7581</x:v>
      </x:c>
      <x:c r="E39" s="24" t="n">
        <x:v>0</x:v>
      </x:c>
      <x:c r="F39" s="24" t="n">
        <x:v>67.81</x:v>
      </x:c>
      <x:c r="G39" s="24" t="n">
        <x:v>97.16</x:v>
      </x:c>
      <x:c r="H39" s="4"/>
      <x:c r="I39" s="4"/>
      <x:c r="J39" s="4"/>
      <x:c r="K39" s="4"/>
      <x:c r="L39" s="4"/>
    </x:row>
    <x:row r="40" ht="19" customHeight="1">
      <x:c r="A40" s="1" t="str">
        <x:v>Current borrowings</x:v>
      </x:c>
      <x:c r="B40" s="1"/>
      <x:c r="C40" s="24" t="n">
        <x:v>34.9536</x:v>
      </x:c>
      <x:c r="D40" s="24" t="n">
        <x:v>62.4444</x:v>
      </x:c>
      <x:c r="E40" s="24" t="n">
        <x:v>46.6237</x:v>
      </x:c>
      <x:c r="F40" s="24" t="n">
        <x:v>200.83</x:v>
      </x:c>
      <x:c r="G40" s="24" t="n">
        <x:v>265.76</x:v>
      </x:c>
      <x:c r="H40" s="4"/>
      <x:c r="I40" s="4"/>
      <x:c r="J40" s="4"/>
      <x:c r="K40" s="4"/>
      <x:c r="L40" s="4"/>
    </x:row>
    <x:row r="41" ht="19" customHeight="1">
      <x:c r="A41" s="1" t="str">
        <x:v>Non-current lease liabilities</x:v>
      </x:c>
      <x:c r="B41" s="1"/>
      <x:c r="C41" s="24" t="n">
        <x:v>18.9981</x:v>
      </x:c>
      <x:c r="D41" s="24" t="n">
        <x:v>13.5795</x:v>
      </x:c>
      <x:c r="E41" s="24" t="n">
        <x:v>8.0269</x:v>
      </x:c>
      <x:c r="F41" s="24" t="n">
        <x:v>4.94</x:v>
      </x:c>
      <x:c r="G41" s="24" t="n">
        <x:v>11.4</x:v>
      </x:c>
      <x:c r="H41" s="4"/>
      <x:c r="I41" s="4"/>
      <x:c r="J41" s="4"/>
      <x:c r="K41" s="4"/>
      <x:c r="L41" s="4"/>
    </x:row>
    <x:row r="42" ht="19" customHeight="1">
      <x:c r="A42" s="1" t="str">
        <x:v>Current lease liabilities</x:v>
      </x:c>
      <x:c r="B42" s="1"/>
      <x:c r="C42" s="24" t="n">
        <x:v>6.3568</x:v>
      </x:c>
      <x:c r="D42" s="24" t="n">
        <x:v>7.5461</x:v>
      </x:c>
      <x:c r="E42" s="24" t="n">
        <x:v>6.2327</x:v>
      </x:c>
      <x:c r="F42" s="24" t="n">
        <x:v>5.27</x:v>
      </x:c>
      <x:c r="G42" s="24" t="n">
        <x:v>4.84</x:v>
      </x:c>
      <x:c r="H42" s="4"/>
      <x:c r="I42" s="4"/>
      <x:c r="J42" s="4"/>
      <x:c r="K42" s="4"/>
      <x:c r="L42" s="4"/>
    </x:row>
    <x:row r="43" ht="19" customHeight="1">
      <x:c r="A43" s="1" t="str">
        <x:v>Trade payables</x:v>
      </x:c>
      <x:c r="B43" s="1"/>
      <x:c r="C43" s="4" t="n">
        <x:f>SUM(C86:C87)</x:f>
        <x:v>269.9445</x:v>
      </x:c>
      <x:c r="D43" s="4" t="n">
        <x:f>SUM(D86:D87)</x:f>
        <x:v>282.63030000000003</x:v>
      </x:c>
      <x:c r="E43" s="4" t="n">
        <x:f>SUM(E86:E87)</x:f>
        <x:v>325.8118</x:v>
      </x:c>
      <x:c r="F43" s="4" t="n">
        <x:f>SUM(F86:F87)</x:f>
        <x:v>379.88</x:v>
      </x:c>
      <x:c r="G43" s="4" t="n">
        <x:f>SUM(G86:G87)</x:f>
        <x:v>546.23</x:v>
      </x:c>
      <x:c r="H43" s="4"/>
      <x:c r="I43" s="4"/>
      <x:c r="J43" s="4"/>
      <x:c r="K43" s="4"/>
      <x:c r="L43" s="4"/>
    </x:row>
    <x:row r="44" ht="19" customHeight="1">
      <x:c r="A44" s="1" t="str">
        <x:v>Other non-current liabilities</x:v>
      </x:c>
      <x:c r="B44" s="1"/>
      <x:c r="C44" s="4" t="n">
        <x:f>SUM(C88:C91)</x:f>
        <x:v>73.5779</x:v>
      </x:c>
      <x:c r="D44" s="4" t="n">
        <x:f>SUM(D88:D91)</x:f>
        <x:v>58.020900000000005</x:v>
      </x:c>
      <x:c r="E44" s="4" t="n">
        <x:f>SUM(E88:E91)</x:f>
        <x:v>56.730900000000005</x:v>
      </x:c>
      <x:c r="F44" s="4" t="n">
        <x:f>SUM(F88:F91)</x:f>
        <x:v>51.099999999999994</x:v>
      </x:c>
      <x:c r="G44" s="4" t="n">
        <x:f>SUM(G88:G91)</x:f>
        <x:v>41.55</x:v>
      </x:c>
      <x:c r="H44" s="4"/>
      <x:c r="I44" s="4"/>
      <x:c r="J44" s="4"/>
      <x:c r="K44" s="4"/>
      <x:c r="L44" s="4"/>
    </x:row>
    <x:row r="45" ht="19" customHeight="1">
      <x:c r="A45" s="1" t="str">
        <x:v>Other current liabilities / held for sale</x:v>
      </x:c>
      <x:c r="B45" s="1"/>
      <x:c r="C45" s="4" t="n">
        <x:f>SUM(C92:C96)</x:f>
        <x:v>125.63179999999998</x:v>
      </x:c>
      <x:c r="D45" s="4" t="n">
        <x:f>SUM(D92:D96)</x:f>
        <x:v>152.2429</x:v>
      </x:c>
      <x:c r="E45" s="4" t="n">
        <x:f>SUM(E92:E96)</x:f>
        <x:v>146.94</x:v>
      </x:c>
      <x:c r="F45" s="4" t="n">
        <x:f>SUM(F92:F96)</x:f>
        <x:v>223.5</x:v>
      </x:c>
      <x:c r="G45" s="4" t="n">
        <x:f>SUM(G92:G96)</x:f>
        <x:v>253.47000000000003</x:v>
      </x:c>
      <x:c r="H45" s="4"/>
      <x:c r="I45" s="4"/>
      <x:c r="J45" s="4"/>
      <x:c r="K45" s="4"/>
      <x:c r="L45" s="4"/>
    </x:row>
    <x:row r="46" ht="19" customHeight="1">
      <x:c r="A46" s="74" t="str">
        <x:v>Reported total equity and liabilities</x:v>
      </x:c>
      <x:c r="B46" s="74"/>
      <x:c r="C46" s="76" t="n">
        <x:v>1198.7549</x:v>
      </x:c>
      <x:c r="D46" s="76" t="n">
        <x:v>1307.5049</x:v>
      </x:c>
      <x:c r="E46" s="76" t="n">
        <x:v>1435.6381</x:v>
      </x:c>
      <x:c r="F46" s="76" t="n">
        <x:v>1949.36</x:v>
      </x:c>
      <x:c r="G46" s="76" t="n">
        <x:v>2475.3</x:v>
      </x:c>
      <x:c r="H46" s="4"/>
      <x:c r="I46" s="4"/>
      <x:c r="J46" s="4"/>
      <x:c r="K46" s="4"/>
      <x:c r="L46" s="4"/>
    </x:row>
    <x:row r="47" ht="19" customHeight="1">
      <x:c r="A47" s="1"/>
      <x:c r="B47" s="1"/>
      <x:c r="C47" s="24"/>
      <x:c r="D47" s="24"/>
      <x:c r="E47" s="24"/>
      <x:c r="F47" s="24"/>
      <x:c r="G47" s="24"/>
      <x:c r="H47" s="4"/>
      <x:c r="I47" s="4"/>
      <x:c r="J47" s="4"/>
      <x:c r="K47" s="4"/>
      <x:c r="L47" s="4"/>
    </x:row>
    <x:row r="48" ht="19" customHeight="1">
      <x:c r="A48" s="1"/>
      <x:c r="B48" s="1"/>
      <x:c r="C48" s="24"/>
      <x:c r="D48" s="24"/>
      <x:c r="E48" s="24"/>
      <x:c r="F48" s="24"/>
      <x:c r="G48" s="24"/>
      <x:c r="H48" s="4"/>
      <x:c r="I48" s="4"/>
      <x:c r="J48" s="4"/>
      <x:c r="K48" s="4"/>
      <x:c r="L48" s="4"/>
    </x:row>
    <x:row r="49" ht="19" customHeight="1">
      <x:c r="A49" s="94" t="str">
        <x:v>Cash flow</x:v>
      </x:c>
      <x:c r="B49" s="94"/>
      <x:c r="C49" s="96"/>
      <x:c r="D49" s="96"/>
      <x:c r="E49" s="96"/>
      <x:c r="F49" s="96"/>
      <x:c r="G49" s="96"/>
      <x:c r="H49" s="4"/>
      <x:c r="I49" s="4"/>
      <x:c r="J49" s="4"/>
      <x:c r="K49" s="4"/>
      <x:c r="L49" s="4"/>
    </x:row>
    <x:row r="50" ht="19" customHeight="1">
      <x:c r="A50" s="1" t="str">
        <x:v>Cash from operating activities</x:v>
      </x:c>
      <x:c r="B50" s="1"/>
      <x:c r="C50" s="24" t="n">
        <x:v>182.646</x:v>
      </x:c>
      <x:c r="D50" s="24" t="n">
        <x:v>162.7934</x:v>
      </x:c>
      <x:c r="E50" s="24" t="n">
        <x:v>254.7773</x:v>
      </x:c>
      <x:c r="F50" s="24" t="n">
        <x:v>223.43</x:v>
      </x:c>
      <x:c r="G50" s="24" t="n">
        <x:v>281.26</x:v>
      </x:c>
      <x:c r="H50" s="4"/>
      <x:c r="I50" s="4"/>
      <x:c r="J50" s="4"/>
      <x:c r="K50" s="4"/>
      <x:c r="L50" s="4"/>
    </x:row>
    <x:row r="51" ht="19" customHeight="1">
      <x:c r="A51" s="1" t="str">
        <x:v>Cash from investing activities</x:v>
      </x:c>
      <x:c r="B51" s="1"/>
      <x:c r="C51" s="24" t="n">
        <x:v>-44.673</x:v>
      </x:c>
      <x:c r="D51" s="24" t="n">
        <x:v>-65.5437</x:v>
      </x:c>
      <x:c r="E51" s="24" t="n">
        <x:v>-129.3255</x:v>
      </x:c>
      <x:c r="F51" s="24" t="n">
        <x:v>-376.99</x:v>
      </x:c>
      <x:c r="G51" s="24" t="n">
        <x:v>-297.92</x:v>
      </x:c>
      <x:c r="H51" s="4"/>
      <x:c r="I51" s="4"/>
      <x:c r="J51" s="4"/>
      <x:c r="K51" s="4"/>
      <x:c r="L51" s="4"/>
    </x:row>
    <x:row r="52" ht="19" customHeight="1">
      <x:c r="A52" s="1" t="str">
        <x:v>Cash from financing activities</x:v>
      </x:c>
      <x:c r="B52" s="1"/>
      <x:c r="C52" s="24" t="n">
        <x:v>-153.5923</x:v>
      </x:c>
      <x:c r="D52" s="24" t="n">
        <x:v>-63.8388</x:v>
      </x:c>
      <x:c r="E52" s="24" t="n">
        <x:v>-68.9063</x:v>
      </x:c>
      <x:c r="F52" s="24" t="n">
        <x:v>142.1</x:v>
      </x:c>
      <x:c r="G52" s="24" t="n">
        <x:v>33.48</x:v>
      </x:c>
      <x:c r="H52" s="4"/>
      <x:c r="I52" s="4"/>
      <x:c r="J52" s="4"/>
      <x:c r="K52" s="4"/>
      <x:c r="L52" s="4"/>
    </x:row>
    <x:row r="53" ht="19" customHeight="1">
      <x:c r="A53" s="1" t="str">
        <x:v>Separately reported FX effect on cash</x:v>
      </x:c>
      <x:c r="B53" s="1"/>
      <x:c r="C53" s="24" t="n">
        <x:v>0</x:v>
      </x:c>
      <x:c r="D53" s="24" t="n">
        <x:v>0</x:v>
      </x:c>
      <x:c r="E53" s="24" t="n">
        <x:v>0</x:v>
      </x:c>
      <x:c r="F53" s="24" t="n">
        <x:v>0</x:v>
      </x:c>
      <x:c r="G53" s="24" t="n">
        <x:v>0</x:v>
      </x:c>
      <x:c r="H53" s="4"/>
      <x:c r="I53" s="4"/>
      <x:c r="J53" s="4"/>
      <x:c r="K53" s="4"/>
      <x:c r="L53" s="4"/>
    </x:row>
    <x:row r="54" ht="19" customHeight="1">
      <x:c r="A54" s="1" t="str">
        <x:v>Opening cash and cash equivalents</x:v>
      </x:c>
      <x:c r="B54" s="1"/>
      <x:c r="C54" s="24" t="n">
        <x:v>38.2052</x:v>
      </x:c>
      <x:c r="D54" s="24" t="n">
        <x:v>22.5859</x:v>
      </x:c>
      <x:c r="E54" s="24" t="n">
        <x:v>55.9968</x:v>
      </x:c>
      <x:c r="F54" s="24" t="n">
        <x:v>112.54</x:v>
      </x:c>
      <x:c r="G54" s="24" t="n">
        <x:v>101.08</x:v>
      </x:c>
      <x:c r="H54" s="4"/>
      <x:c r="I54" s="4"/>
      <x:c r="J54" s="4"/>
      <x:c r="K54" s="4"/>
      <x:c r="L54" s="4"/>
    </x:row>
    <x:row r="55" ht="19" customHeight="1">
      <x:c r="A55" s="74" t="str">
        <x:v>Closing cash and cash equivalents</x:v>
      </x:c>
      <x:c r="B55" s="74"/>
      <x:c r="C55" s="76" t="n">
        <x:v>22.5859</x:v>
      </x:c>
      <x:c r="D55" s="76" t="n">
        <x:v>55.9968</x:v>
      </x:c>
      <x:c r="E55" s="76" t="n">
        <x:v>112.5423</x:v>
      </x:c>
      <x:c r="F55" s="76" t="n">
        <x:v>101.08</x:v>
      </x:c>
      <x:c r="G55" s="76" t="n">
        <x:v>117.9</x:v>
      </x:c>
      <x:c r="H55" s="4"/>
      <x:c r="I55" s="4"/>
      <x:c r="J55" s="4"/>
      <x:c r="K55" s="4"/>
      <x:c r="L55" s="4"/>
    </x:row>
    <x:row r="56" ht="19" customHeight="1">
      <x:c r="A56" s="1" t="str">
        <x:v>Cash capex incl. capital creditor changes</x:v>
      </x:c>
      <x:c r="B56" s="1"/>
      <x:c r="C56" s="4" t="n">
        <x:f>C97-C98</x:f>
        <x:v>48.001</x:v>
      </x:c>
      <x:c r="D56" s="4" t="n">
        <x:f>D97-D98</x:f>
        <x:v>80.9343</x:v>
      </x:c>
      <x:c r="E56" s="4" t="n">
        <x:f>E97-E98</x:f>
        <x:v>148.3413</x:v>
      </x:c>
      <x:c r="F56" s="4" t="n">
        <x:f>F97-F98</x:f>
        <x:v>215.53</x:v>
      </x:c>
      <x:c r="G56" s="4" t="n">
        <x:f>G97-G98</x:f>
        <x:v>307.13</x:v>
      </x:c>
      <x:c r="H56" s="4"/>
      <x:c r="I56" s="4"/>
      <x:c r="J56" s="4"/>
      <x:c r="K56" s="4"/>
      <x:c r="L56" s="4"/>
    </x:row>
    <x:row r="57" ht="19" customHeight="1">
      <x:c r="A57" s="1" t="str">
        <x:v>Acquisition cash outflow</x:v>
      </x:c>
      <x:c r="B57" s="1"/>
      <x:c r="C57" s="24" t="n">
        <x:v>0</x:v>
      </x:c>
      <x:c r="D57" s="24" t="n">
        <x:v>0</x:v>
      </x:c>
      <x:c r="E57" s="24" t="n">
        <x:v>0</x:v>
      </x:c>
      <x:c r="F57" s="24" t="n">
        <x:v>197.5</x:v>
      </x:c>
      <x:c r="G57" s="24" t="n">
        <x:v>0</x:v>
      </x:c>
      <x:c r="H57" s="4"/>
      <x:c r="I57" s="4"/>
      <x:c r="J57" s="4"/>
      <x:c r="K57" s="4"/>
      <x:c r="L57" s="4"/>
    </x:row>
    <x:row r="58" ht="19" customHeight="1">
      <x:c r="A58" s="1" t="str">
        <x:v>Cash dividends paid</x:v>
      </x:c>
      <x:c r="B58" s="1"/>
      <x:c r="C58" s="24" t="n">
        <x:v>0</x:v>
      </x:c>
      <x:c r="D58" s="24" t="n">
        <x:v>0</x:v>
      </x:c>
      <x:c r="E58" s="24" t="n">
        <x:v>0</x:v>
      </x:c>
      <x:c r="F58" s="24" t="n">
        <x:v>0</x:v>
      </x:c>
      <x:c r="G58" s="24" t="n">
        <x:v>24.38</x:v>
      </x:c>
      <x:c r="H58" s="4"/>
      <x:c r="I58" s="4"/>
      <x:c r="J58" s="4"/>
      <x:c r="K58" s="4"/>
      <x:c r="L58" s="4"/>
    </x:row>
    <x:row r="59" ht="19" customHeight="1">
      <x:c r="A59" s="1" t="str">
        <x:v>Shares outstanding (crore)</x:v>
      </x:c>
      <x:c r="B59" s="1"/>
      <x:c r="C59" s="24" t="n">
        <x:v>12.1881498</x:v>
      </x:c>
      <x:c r="D59" s="24" t="n">
        <x:v>12.1881498</x:v>
      </x:c>
      <x:c r="E59" s="24" t="n">
        <x:v>12.1881498</x:v>
      </x:c>
      <x:c r="F59" s="24" t="n">
        <x:v>12.1881498</x:v>
      </x:c>
      <x:c r="G59" s="24" t="n">
        <x:v>12.1881498</x:v>
      </x:c>
      <x:c r="H59" s="4"/>
      <x:c r="I59" s="4"/>
      <x:c r="J59" s="4"/>
      <x:c r="K59" s="4"/>
      <x:c r="L59" s="4"/>
    </x:row>
    <x:row r="60" ht="19" customHeight="1">
      <x:c r="A60" s="1"/>
      <x:c r="B60" s="1"/>
      <x:c r="C60" s="24"/>
      <x:c r="D60" s="24"/>
      <x:c r="E60" s="24"/>
      <x:c r="F60" s="24"/>
      <x:c r="G60" s="24"/>
      <x:c r="H60" s="4"/>
      <x:c r="I60" s="4"/>
      <x:c r="J60" s="4"/>
      <x:c r="K60" s="4"/>
      <x:c r="L60" s="4"/>
    </x:row>
    <x:row r="61" ht="32" customHeight="1">
      <x:c r="A61" s="62" t="str">
        <x:v>Sources: FY2023 annual report (restated FY2022); FY2024 (FY2023 comparative); FY2025 (FY2024); FY2026 (FY2025–FY2026).</x:v>
      </x:c>
      <x:c r="B61" s="62"/>
      <x:c r="C61" s="63"/>
      <x:c r="D61" s="63"/>
      <x:c r="E61" s="63"/>
      <x:c r="F61" s="63"/>
      <x:c r="G61" s="63"/>
      <x:c r="H61" s="4"/>
      <x:c r="I61" s="4"/>
      <x:c r="J61" s="4"/>
      <x:c r="K61" s="4"/>
      <x:c r="L61" s="4"/>
    </x:row>
    <x:row r="62" ht="32" customHeight="1">
      <x:c r="A62" s="62" t="str">
        <x:v>Earlier reports in INR lakh are divided by 100. Supplier finance is included in FY2025–FY2026 borrowings. No residual is classified as FX.</x:v>
      </x:c>
      <x:c r="B62" s="62"/>
      <x:c r="C62" s="63"/>
      <x:c r="D62" s="63"/>
      <x:c r="E62" s="63"/>
      <x:c r="F62" s="63"/>
      <x:c r="G62" s="63"/>
      <x:c r="H62" s="4"/>
      <x:c r="I62" s="4"/>
      <x:c r="J62" s="4"/>
      <x:c r="K62" s="4"/>
      <x:c r="L62" s="4"/>
    </x:row>
    <x:row r="63" ht="19" customHeight="1">
      <x:c r="A63" s="1"/>
      <x:c r="B63" s="1"/>
      <x:c r="C63" s="24"/>
      <x:c r="D63" s="24"/>
      <x:c r="E63" s="24"/>
      <x:c r="F63" s="24"/>
      <x:c r="G63" s="24"/>
      <x:c r="H63" s="4"/>
      <x:c r="I63" s="4"/>
      <x:c r="J63" s="4"/>
      <x:c r="K63" s="4"/>
      <x:c r="L63" s="4"/>
    </x:row>
    <x:row r="64" ht="19" customHeight="1">
      <x:c r="A64" s="94" t="str">
        <x:v>Statement components</x:v>
      </x:c>
      <x:c r="B64" s="94"/>
      <x:c r="C64" s="96"/>
      <x:c r="D64" s="96"/>
      <x:c r="E64" s="96"/>
      <x:c r="F64" s="96"/>
      <x:c r="G64" s="96"/>
      <x:c r="H64" s="4"/>
      <x:c r="I64" s="4"/>
      <x:c r="J64" s="4"/>
      <x:c r="K64" s="4"/>
      <x:c r="L64" s="4"/>
    </x:row>
    <x:row r="65" ht="19" customHeight="1">
      <x:c r="A65" s="1" t="str">
        <x:v>Materials consumed</x:v>
      </x:c>
      <x:c r="B65" s="1"/>
      <x:c r="C65" s="24" t="n">
        <x:v>1013.3788</x:v>
      </x:c>
      <x:c r="D65" s="24" t="n">
        <x:v>1324.1144</x:v>
      </x:c>
      <x:c r="E65" s="24" t="n">
        <x:v>1509.7239</x:v>
      </x:c>
      <x:c r="F65" s="24" t="n">
        <x:v>1777.49</x:v>
      </x:c>
      <x:c r="G65" s="24" t="n">
        <x:v>2754.88</x:v>
      </x:c>
      <x:c r="H65" s="4"/>
      <x:c r="I65" s="4"/>
      <x:c r="J65" s="4"/>
      <x:c r="K65" s="4"/>
      <x:c r="L65" s="4"/>
    </x:row>
    <x:row r="66" ht="19" customHeight="1">
      <x:c r="A66" s="1" t="str">
        <x:v>Purchases of stock-in-trade</x:v>
      </x:c>
      <x:c r="B66" s="1"/>
      <x:c r="C66" s="24" t="n">
        <x:v>47.9208</x:v>
      </x:c>
      <x:c r="D66" s="24" t="n">
        <x:v>59.7232</x:v>
      </x:c>
      <x:c r="E66" s="24" t="n">
        <x:v>71.486</x:v>
      </x:c>
      <x:c r="F66" s="24" t="n">
        <x:v>78.08</x:v>
      </x:c>
      <x:c r="G66" s="24" t="n">
        <x:v>82.41</x:v>
      </x:c>
      <x:c r="H66" s="4"/>
      <x:c r="I66" s="4"/>
      <x:c r="J66" s="4"/>
      <x:c r="K66" s="4"/>
      <x:c r="L66" s="4"/>
    </x:row>
    <x:row r="67" ht="19" customHeight="1">
      <x:c r="A67" s="1" t="str">
        <x:v>Changes in inventories</x:v>
      </x:c>
      <x:c r="B67" s="1"/>
      <x:c r="C67" s="24" t="n">
        <x:v>8.3311</x:v>
      </x:c>
      <x:c r="D67" s="24" t="n">
        <x:v>-10.5475</x:v>
      </x:c>
      <x:c r="E67" s="24" t="n">
        <x:v>-25.9901</x:v>
      </x:c>
      <x:c r="F67" s="24" t="n">
        <x:v>5.17</x:v>
      </x:c>
      <x:c r="G67" s="24" t="n">
        <x:v>-43.44</x:v>
      </x:c>
      <x:c r="H67" s="4"/>
      <x:c r="I67" s="4"/>
      <x:c r="J67" s="4"/>
      <x:c r="K67" s="4"/>
      <x:c r="L67" s="4"/>
    </x:row>
    <x:row r="68" ht="19" customHeight="1">
      <x:c r="A68" s="1" t="str">
        <x:v>Employee expenses</x:v>
      </x:c>
      <x:c r="B68" s="1"/>
      <x:c r="C68" s="24" t="n">
        <x:v>191.8065</x:v>
      </x:c>
      <x:c r="D68" s="24" t="n">
        <x:v>227.4933</x:v>
      </x:c>
      <x:c r="E68" s="24" t="n">
        <x:v>262.6404</x:v>
      </x:c>
      <x:c r="F68" s="24" t="n">
        <x:v>324.7</x:v>
      </x:c>
      <x:c r="G68" s="24" t="n">
        <x:v>470.39</x:v>
      </x:c>
      <x:c r="H68" s="4"/>
      <x:c r="I68" s="4"/>
      <x:c r="J68" s="4"/>
      <x:c r="K68" s="4"/>
      <x:c r="L68" s="4"/>
    </x:row>
    <x:row r="69" ht="19" customHeight="1">
      <x:c r="A69" s="1" t="str">
        <x:v>Other operating expenses</x:v>
      </x:c>
      <x:c r="B69" s="1"/>
      <x:c r="C69" s="24" t="n">
        <x:v>102.6756</x:v>
      </x:c>
      <x:c r="D69" s="24" t="n">
        <x:v>129.3023</x:v>
      </x:c>
      <x:c r="E69" s="24" t="n">
        <x:v>180.8652</x:v>
      </x:c>
      <x:c r="F69" s="24" t="n">
        <x:v>193.59</x:v>
      </x:c>
      <x:c r="G69" s="24" t="n">
        <x:v>307.19</x:v>
      </x:c>
      <x:c r="H69" s="4"/>
      <x:c r="I69" s="4"/>
      <x:c r="J69" s="4"/>
      <x:c r="K69" s="4"/>
      <x:c r="L69" s="4"/>
    </x:row>
    <x:row r="70" ht="19" customHeight="1">
      <x:c r="A70" s="1" t="str">
        <x:v>Current tax expense</x:v>
      </x:c>
      <x:c r="B70" s="1"/>
      <x:c r="C70" s="24" t="n">
        <x:v>30.9033</x:v>
      </x:c>
      <x:c r="D70" s="24" t="n">
        <x:v>36.2032</x:v>
      </x:c>
      <x:c r="E70" s="24" t="n">
        <x:v>50.4519</x:v>
      </x:c>
      <x:c r="F70" s="24" t="n">
        <x:v>65.12</x:v>
      </x:c>
      <x:c r="G70" s="24" t="n">
        <x:v>82.69</x:v>
      </x:c>
      <x:c r="H70" s="4"/>
      <x:c r="I70" s="4"/>
      <x:c r="J70" s="4"/>
      <x:c r="K70" s="4"/>
      <x:c r="L70" s="4"/>
    </x:row>
    <x:row r="71" ht="19" customHeight="1">
      <x:c r="A71" s="1" t="str">
        <x:v>Deferred tax expense</x:v>
      </x:c>
      <x:c r="B71" s="1"/>
      <x:c r="C71" s="24" t="n">
        <x:v>-1.7323</x:v>
      </x:c>
      <x:c r="D71" s="24" t="n">
        <x:v>-14.2685</x:v>
      </x:c>
      <x:c r="E71" s="24" t="n">
        <x:v>-4.2548</x:v>
      </x:c>
      <x:c r="F71" s="24" t="n">
        <x:v>-5.46</x:v>
      </x:c>
      <x:c r="G71" s="24" t="n">
        <x:v>-4.89</x:v>
      </x:c>
      <x:c r="H71" s="4"/>
      <x:c r="I71" s="4"/>
      <x:c r="J71" s="4"/>
      <x:c r="K71" s="4"/>
      <x:c r="L71" s="4"/>
    </x:row>
    <x:row r="72" ht="19" customHeight="1">
      <x:c r="A72" s="1" t="str">
        <x:v>Tax relating to earlier years</x:v>
      </x:c>
      <x:c r="B72" s="1"/>
      <x:c r="C72" s="24" t="n">
        <x:v>0.0147</x:v>
      </x:c>
      <x:c r="D72" s="24" t="n">
        <x:v>0</x:v>
      </x:c>
      <x:c r="E72" s="24" t="n">
        <x:v>-0.904</x:v>
      </x:c>
      <x:c r="F72" s="24" t="n">
        <x:v>-0.08</x:v>
      </x:c>
      <x:c r="G72" s="24" t="n">
        <x:v>2.34</x:v>
      </x:c>
      <x:c r="H72" s="4"/>
      <x:c r="I72" s="4"/>
      <x:c r="J72" s="4"/>
      <x:c r="K72" s="4"/>
      <x:c r="L72" s="4"/>
    </x:row>
    <x:row r="73" ht="19" customHeight="1">
      <x:c r="A73" s="1" t="str">
        <x:v>Goodwill</x:v>
      </x:c>
      <x:c r="B73" s="1"/>
      <x:c r="C73" s="24" t="n">
        <x:v>79.472</x:v>
      </x:c>
      <x:c r="D73" s="24" t="n">
        <x:v>69.538</x:v>
      </x:c>
      <x:c r="E73" s="24" t="n">
        <x:v>59.604</x:v>
      </x:c>
      <x:c r="F73" s="24" t="n">
        <x:v>51.72</x:v>
      </x:c>
      <x:c r="G73" s="24" t="n">
        <x:v>41.79</x:v>
      </x:c>
      <x:c r="H73" s="4"/>
      <x:c r="I73" s="4"/>
      <x:c r="J73" s="4"/>
      <x:c r="K73" s="4"/>
      <x:c r="L73" s="4"/>
    </x:row>
    <x:row r="74" ht="19" customHeight="1">
      <x:c r="A74" s="1" t="str">
        <x:v>Other intangible assets</x:v>
      </x:c>
      <x:c r="B74" s="1"/>
      <x:c r="C74" s="24" t="n">
        <x:v>103.4383</x:v>
      </x:c>
      <x:c r="D74" s="24" t="n">
        <x:v>90.2946</x:v>
      </x:c>
      <x:c r="E74" s="24" t="n">
        <x:v>78.4071</x:v>
      </x:c>
      <x:c r="F74" s="24" t="n">
        <x:v>79.9</x:v>
      </x:c>
      <x:c r="G74" s="24" t="n">
        <x:v>63.69</x:v>
      </x:c>
      <x:c r="H74" s="4"/>
      <x:c r="I74" s="4"/>
      <x:c r="J74" s="4"/>
      <x:c r="K74" s="4"/>
      <x:c r="L74" s="4"/>
    </x:row>
    <x:row r="75" ht="19" customHeight="1">
      <x:c r="A75" s="1" t="str">
        <x:v>Intangibles under development</x:v>
      </x:c>
      <x:c r="B75" s="1"/>
      <x:c r="C75" s="24" t="n">
        <x:v>0</x:v>
      </x:c>
      <x:c r="D75" s="24" t="n">
        <x:v>0.6249</x:v>
      </x:c>
      <x:c r="E75" s="24" t="n">
        <x:v>0.3815</x:v>
      </x:c>
      <x:c r="F75" s="24" t="n">
        <x:v>0.47</x:v>
      </x:c>
      <x:c r="G75" s="24" t="n">
        <x:v>0.06</x:v>
      </x:c>
      <x:c r="H75" s="4"/>
      <x:c r="I75" s="4"/>
      <x:c r="J75" s="4"/>
      <x:c r="K75" s="4"/>
      <x:c r="L75" s="4"/>
    </x:row>
    <x:row r="76" ht="19" customHeight="1">
      <x:c r="A76" s="1" t="str">
        <x:v>Investment property</x:v>
      </x:c>
      <x:c r="B76" s="1"/>
      <x:c r="C76" s="24" t="n">
        <x:v>15.3879</x:v>
      </x:c>
      <x:c r="D76" s="24" t="n">
        <x:v>6.9497</x:v>
      </x:c>
      <x:c r="E76" s="24" t="n">
        <x:v>6.6861</x:v>
      </x:c>
      <x:c r="F76" s="24" t="n">
        <x:v>6.42</x:v>
      </x:c>
      <x:c r="G76" s="24" t="n">
        <x:v>6.16</x:v>
      </x:c>
      <x:c r="H76" s="4"/>
      <x:c r="I76" s="4"/>
      <x:c r="J76" s="4"/>
      <x:c r="K76" s="4"/>
      <x:c r="L76" s="4"/>
    </x:row>
    <x:row r="77" ht="19" customHeight="1">
      <x:c r="A77" s="1" t="str">
        <x:v>Non-current investments</x:v>
      </x:c>
      <x:c r="B77" s="1"/>
      <x:c r="C77" s="24" t="n">
        <x:v>0</x:v>
      </x:c>
      <x:c r="D77" s="24" t="n">
        <x:v>1.2</x:v>
      </x:c>
      <x:c r="E77" s="24" t="n">
        <x:v>1.2</x:v>
      </x:c>
      <x:c r="F77" s="24" t="n">
        <x:v>7.14</x:v>
      </x:c>
      <x:c r="G77" s="24" t="n">
        <x:v>7.38</x:v>
      </x:c>
      <x:c r="H77" s="4"/>
      <x:c r="I77" s="4"/>
      <x:c r="J77" s="4"/>
      <x:c r="K77" s="4"/>
      <x:c r="L77" s="4"/>
    </x:row>
    <x:row r="78" ht="19" customHeight="1">
      <x:c r="A78" s="1" t="str">
        <x:v>Non-current financial assets</x:v>
      </x:c>
      <x:c r="B78" s="1"/>
      <x:c r="C78" s="24" t="n">
        <x:v>6.7312</x:v>
      </x:c>
      <x:c r="D78" s="24" t="n">
        <x:v>7.3252</x:v>
      </x:c>
      <x:c r="E78" s="24" t="n">
        <x:v>6.913</x:v>
      </x:c>
      <x:c r="F78" s="24" t="n">
        <x:v>8.36</x:v>
      </x:c>
      <x:c r="G78" s="24" t="n">
        <x:v>9.4</x:v>
      </x:c>
      <x:c r="H78" s="4"/>
      <x:c r="I78" s="4"/>
      <x:c r="J78" s="4"/>
      <x:c r="K78" s="4"/>
      <x:c r="L78" s="4"/>
    </x:row>
    <x:row r="79" ht="19" customHeight="1">
      <x:c r="A79" s="1" t="str">
        <x:v>Deferred tax assets</x:v>
      </x:c>
      <x:c r="B79" s="1"/>
      <x:c r="C79" s="24" t="n">
        <x:v>0.6326</x:v>
      </x:c>
      <x:c r="D79" s="24" t="n">
        <x:v>0.3462</x:v>
      </x:c>
      <x:c r="E79" s="24" t="n">
        <x:v>0.2961</x:v>
      </x:c>
      <x:c r="F79" s="24" t="n">
        <x:v>0.21</x:v>
      </x:c>
      <x:c r="G79" s="24" t="n">
        <x:v>0.26</x:v>
      </x:c>
      <x:c r="H79" s="4"/>
      <x:c r="I79" s="4"/>
      <x:c r="J79" s="4"/>
      <x:c r="K79" s="4"/>
      <x:c r="L79" s="4"/>
    </x:row>
    <x:row r="80" ht="19" customHeight="1">
      <x:c r="A80" s="1" t="str">
        <x:v>Non-current tax assets</x:v>
      </x:c>
      <x:c r="B80" s="1"/>
      <x:c r="C80" s="24" t="n">
        <x:v>0</x:v>
      </x:c>
      <x:c r="D80" s="24" t="n">
        <x:v>0</x:v>
      </x:c>
      <x:c r="E80" s="24" t="n">
        <x:v>0</x:v>
      </x:c>
      <x:c r="F80" s="24" t="n">
        <x:v>2.88</x:v>
      </x:c>
      <x:c r="G80" s="24" t="n">
        <x:v>1.56</x:v>
      </x:c>
      <x:c r="H80" s="4"/>
      <x:c r="I80" s="4"/>
      <x:c r="J80" s="4"/>
      <x:c r="K80" s="4"/>
      <x:c r="L80" s="4"/>
    </x:row>
    <x:row r="81" ht="19" customHeight="1">
      <x:c r="A81" s="1" t="str">
        <x:v>Other non-current assets</x:v>
      </x:c>
      <x:c r="B81" s="1"/>
      <x:c r="C81" s="24" t="n">
        <x:v>21.8495</x:v>
      </x:c>
      <x:c r="D81" s="24" t="n">
        <x:v>23.214</x:v>
      </x:c>
      <x:c r="E81" s="24" t="n">
        <x:v>14.3805</x:v>
      </x:c>
      <x:c r="F81" s="24" t="n">
        <x:v>9.2</x:v>
      </x:c>
      <x:c r="G81" s="24" t="n">
        <x:v>8.15</x:v>
      </x:c>
      <x:c r="H81" s="4"/>
      <x:c r="I81" s="4"/>
      <x:c r="J81" s="4"/>
      <x:c r="K81" s="4"/>
      <x:c r="L81" s="4"/>
    </x:row>
    <x:row r="82" ht="19" customHeight="1">
      <x:c r="A82" s="1" t="str">
        <x:v>Other bank balances</x:v>
      </x:c>
      <x:c r="B82" s="1"/>
      <x:c r="C82" s="24" t="n">
        <x:v>28.1088</x:v>
      </x:c>
      <x:c r="D82" s="24" t="n">
        <x:v>27.9419</x:v>
      </x:c>
      <x:c r="E82" s="24" t="n">
        <x:v>1.0934</x:v>
      </x:c>
      <x:c r="F82" s="24" t="n">
        <x:v>0.95</x:v>
      </x:c>
      <x:c r="G82" s="24" t="n">
        <x:v>1</x:v>
      </x:c>
      <x:c r="H82" s="4"/>
      <x:c r="I82" s="4"/>
      <x:c r="J82" s="4"/>
      <x:c r="K82" s="4"/>
      <x:c r="L82" s="4"/>
    </x:row>
    <x:row r="83" ht="19" customHeight="1">
      <x:c r="A83" s="1" t="str">
        <x:v>Other current financial assets</x:v>
      </x:c>
      <x:c r="B83" s="1"/>
      <x:c r="C83" s="24" t="n">
        <x:v>0.8149</x:v>
      </x:c>
      <x:c r="D83" s="24" t="n">
        <x:v>0.2996</x:v>
      </x:c>
      <x:c r="E83" s="24" t="n">
        <x:v>1.478</x:v>
      </x:c>
      <x:c r="F83" s="24" t="n">
        <x:v>1.35</x:v>
      </x:c>
      <x:c r="G83" s="24" t="n">
        <x:v>2.13</x:v>
      </x:c>
      <x:c r="H83" s="4"/>
      <x:c r="I83" s="4"/>
      <x:c r="J83" s="4"/>
      <x:c r="K83" s="4"/>
      <x:c r="L83" s="4"/>
    </x:row>
    <x:row r="84" ht="19" customHeight="1">
      <x:c r="A84" s="1" t="str">
        <x:v>Other current assets</x:v>
      </x:c>
      <x:c r="B84" s="1"/>
      <x:c r="C84" s="24" t="n">
        <x:v>20.2461</x:v>
      </x:c>
      <x:c r="D84" s="24" t="n">
        <x:v>15.5953</x:v>
      </x:c>
      <x:c r="E84" s="24" t="n">
        <x:v>15.3629</x:v>
      </x:c>
      <x:c r="F84" s="24" t="n">
        <x:v>34.6</x:v>
      </x:c>
      <x:c r="G84" s="24" t="n">
        <x:v>47.2</x:v>
      </x:c>
      <x:c r="H84" s="4"/>
      <x:c r="I84" s="4"/>
      <x:c r="J84" s="4"/>
      <x:c r="K84" s="4"/>
      <x:c r="L84" s="4"/>
    </x:row>
    <x:row r="85" ht="19" customHeight="1">
      <x:c r="A85" s="1" t="str">
        <x:v>Assets held for sale</x:v>
      </x:c>
      <x:c r="B85" s="1"/>
      <x:c r="C85" s="24" t="n">
        <x:v>0</x:v>
      </x:c>
      <x:c r="D85" s="24" t="n">
        <x:v>19.5691</x:v>
      </x:c>
      <x:c r="E85" s="24" t="n">
        <x:v>0</x:v>
      </x:c>
      <x:c r="F85" s="24" t="n">
        <x:v>0</x:v>
      </x:c>
      <x:c r="G85" s="24" t="n">
        <x:v>0</x:v>
      </x:c>
      <x:c r="H85" s="4"/>
      <x:c r="I85" s="4"/>
      <x:c r="J85" s="4"/>
      <x:c r="K85" s="4"/>
      <x:c r="L85" s="4"/>
    </x:row>
    <x:row r="86" ht="19" customHeight="1">
      <x:c r="A86" s="1" t="str">
        <x:v>Trade payables to SMEs</x:v>
      </x:c>
      <x:c r="B86" s="1"/>
      <x:c r="C86" s="24" t="n">
        <x:v>10.9203</x:v>
      </x:c>
      <x:c r="D86" s="24" t="n">
        <x:v>19.1689</x:v>
      </x:c>
      <x:c r="E86" s="24" t="n">
        <x:v>22.8136</x:v>
      </x:c>
      <x:c r="F86" s="24" t="n">
        <x:v>43.66</x:v>
      </x:c>
      <x:c r="G86" s="24" t="n">
        <x:v>102.84</x:v>
      </x:c>
      <x:c r="H86" s="4"/>
      <x:c r="I86" s="4"/>
      <x:c r="J86" s="4"/>
      <x:c r="K86" s="4"/>
      <x:c r="L86" s="4"/>
    </x:row>
    <x:row r="87" ht="19" customHeight="1">
      <x:c r="A87" s="1" t="str">
        <x:v>Other trade payables</x:v>
      </x:c>
      <x:c r="B87" s="1"/>
      <x:c r="C87" s="24" t="n">
        <x:v>259.0242</x:v>
      </x:c>
      <x:c r="D87" s="24" t="n">
        <x:v>263.4614</x:v>
      </x:c>
      <x:c r="E87" s="24" t="n">
        <x:v>302.9982</x:v>
      </x:c>
      <x:c r="F87" s="24" t="n">
        <x:v>336.22</x:v>
      </x:c>
      <x:c r="G87" s="24" t="n">
        <x:v>443.39</x:v>
      </x:c>
      <x:c r="H87" s="4"/>
      <x:c r="I87" s="4"/>
      <x:c r="J87" s="4"/>
      <x:c r="K87" s="4"/>
      <x:c r="L87" s="4"/>
    </x:row>
    <x:row r="88" ht="19" customHeight="1">
      <x:c r="A88" s="1" t="str">
        <x:v>Non-current financial liabilities</x:v>
      </x:c>
      <x:c r="B88" s="1"/>
      <x:c r="C88" s="24" t="n">
        <x:v>4.907</x:v>
      </x:c>
      <x:c r="D88" s="24" t="n">
        <x:v>0.8097</x:v>
      </x:c>
      <x:c r="E88" s="24" t="n">
        <x:v>0.8827</x:v>
      </x:c>
      <x:c r="F88" s="24" t="n">
        <x:v>1</x:v>
      </x:c>
      <x:c r="G88" s="24" t="n">
        <x:v>0.96</x:v>
      </x:c>
      <x:c r="H88" s="4"/>
      <x:c r="I88" s="4"/>
      <x:c r="J88" s="4"/>
      <x:c r="K88" s="4"/>
      <x:c r="L88" s="4"/>
    </x:row>
    <x:row r="89" ht="19" customHeight="1">
      <x:c r="A89" s="1" t="str">
        <x:v>Non-current provisions</x:v>
      </x:c>
      <x:c r="B89" s="1"/>
      <x:c r="C89" s="24" t="n">
        <x:v>12.3543</x:v>
      </x:c>
      <x:c r="D89" s="24" t="n">
        <x:v>14.8648</x:v>
      </x:c>
      <x:c r="E89" s="24" t="n">
        <x:v>19.0161</x:v>
      </x:c>
      <x:c r="F89" s="24" t="n">
        <x:v>15.47</x:v>
      </x:c>
      <x:c r="G89" s="24" t="n">
        <x:v>12</x:v>
      </x:c>
      <x:c r="H89" s="4"/>
      <x:c r="I89" s="4"/>
      <x:c r="J89" s="4"/>
      <x:c r="K89" s="4"/>
      <x:c r="L89" s="4"/>
    </x:row>
    <x:row r="90" ht="19" customHeight="1">
      <x:c r="A90" s="1" t="str">
        <x:v>Deferred tax liabilities</x:v>
      </x:c>
      <x:c r="B90" s="1"/>
      <x:c r="C90" s="24" t="n">
        <x:v>56.3166</x:v>
      </x:c>
      <x:c r="D90" s="24" t="n">
        <x:v>41.0675</x:v>
      </x:c>
      <x:c r="E90" s="24" t="n">
        <x:v>34.8397</x:v>
      </x:c>
      <x:c r="F90" s="24" t="n">
        <x:v>30.15</x:v>
      </x:c>
      <x:c r="G90" s="24" t="n">
        <x:v>24.83</x:v>
      </x:c>
      <x:c r="H90" s="4"/>
      <x:c r="I90" s="4"/>
      <x:c r="J90" s="4"/>
      <x:c r="K90" s="4"/>
      <x:c r="L90" s="4"/>
    </x:row>
    <x:row r="91" ht="19" customHeight="1">
      <x:c r="A91" s="1" t="str">
        <x:v>Other non-current liabilities</x:v>
      </x:c>
      <x:c r="B91" s="1"/>
      <x:c r="C91" s="24" t="n">
        <x:v>0</x:v>
      </x:c>
      <x:c r="D91" s="24" t="n">
        <x:v>1.2789</x:v>
      </x:c>
      <x:c r="E91" s="24" t="n">
        <x:v>1.9924</x:v>
      </x:c>
      <x:c r="F91" s="24" t="n">
        <x:v>4.48</x:v>
      </x:c>
      <x:c r="G91" s="24" t="n">
        <x:v>3.76</x:v>
      </x:c>
      <x:c r="H91" s="4"/>
      <x:c r="I91" s="4"/>
      <x:c r="J91" s="4"/>
      <x:c r="K91" s="4"/>
      <x:c r="L91" s="4"/>
    </x:row>
    <x:row r="92" ht="19" customHeight="1">
      <x:c r="A92" s="1" t="str">
        <x:v>Other current financial liabilities</x:v>
      </x:c>
      <x:c r="B92" s="1"/>
      <x:c r="C92" s="24" t="n">
        <x:v>95.9695</x:v>
      </x:c>
      <x:c r="D92" s="24" t="n">
        <x:v>105.9194</x:v>
      </x:c>
      <x:c r="E92" s="24" t="n">
        <x:v>89.8349</x:v>
      </x:c>
      <x:c r="F92" s="24" t="n">
        <x:v>79.35</x:v>
      </x:c>
      <x:c r="G92" s="24" t="n">
        <x:v>108.33</x:v>
      </x:c>
      <x:c r="H92" s="4"/>
      <x:c r="I92" s="4"/>
      <x:c r="J92" s="4"/>
      <x:c r="K92" s="4"/>
      <x:c r="L92" s="4"/>
    </x:row>
    <x:row r="93" ht="19" customHeight="1">
      <x:c r="A93" s="1" t="str">
        <x:v>Other current liabilities</x:v>
      </x:c>
      <x:c r="B93" s="1"/>
      <x:c r="C93" s="24" t="n">
        <x:v>17.8505</x:v>
      </x:c>
      <x:c r="D93" s="24" t="n">
        <x:v>25.8638</x:v>
      </x:c>
      <x:c r="E93" s="24" t="n">
        <x:v>27.5525</x:v>
      </x:c>
      <x:c r="F93" s="24" t="n">
        <x:v>51.68</x:v>
      </x:c>
      <x:c r="G93" s="24" t="n">
        <x:v>42.13</x:v>
      </x:c>
      <x:c r="H93" s="4"/>
      <x:c r="I93" s="4"/>
      <x:c r="J93" s="4"/>
      <x:c r="K93" s="4"/>
      <x:c r="L93" s="4"/>
    </x:row>
    <x:row r="94" ht="19" customHeight="1">
      <x:c r="A94" s="1" t="str">
        <x:v>Current provisions</x:v>
      </x:c>
      <x:c r="B94" s="1"/>
      <x:c r="C94" s="24" t="n">
        <x:v>10.4561</x:v>
      </x:c>
      <x:c r="D94" s="24" t="n">
        <x:v>11.1127</x:v>
      </x:c>
      <x:c r="E94" s="24" t="n">
        <x:v>26.9282</x:v>
      </x:c>
      <x:c r="F94" s="24" t="n">
        <x:v>30.69</x:v>
      </x:c>
      <x:c r="G94" s="24" t="n">
        <x:v>43.4</x:v>
      </x:c>
      <x:c r="H94" s="4"/>
      <x:c r="I94" s="4"/>
      <x:c r="J94" s="4"/>
      <x:c r="K94" s="4"/>
      <x:c r="L94" s="4"/>
    </x:row>
    <x:row r="95" ht="19" customHeight="1">
      <x:c r="A95" s="1" t="str">
        <x:v>Current tax liabilities</x:v>
      </x:c>
      <x:c r="B95" s="1"/>
      <x:c r="C95" s="24" t="n">
        <x:v>1.3557</x:v>
      </x:c>
      <x:c r="D95" s="24" t="n">
        <x:v>2.627</x:v>
      </x:c>
      <x:c r="E95" s="24" t="n">
        <x:v>2.6244</x:v>
      </x:c>
      <x:c r="F95" s="24" t="n">
        <x:v>61.78</x:v>
      </x:c>
      <x:c r="G95" s="24" t="n">
        <x:v>59.61</x:v>
      </x:c>
      <x:c r="H95" s="4"/>
      <x:c r="I95" s="4"/>
      <x:c r="J95" s="4"/>
      <x:c r="K95" s="4"/>
      <x:c r="L95" s="4"/>
    </x:row>
    <x:row r="96" ht="19" customHeight="1">
      <x:c r="A96" s="1" t="str">
        <x:v>Liabilities held for sale</x:v>
      </x:c>
      <x:c r="B96" s="1"/>
      <x:c r="C96" s="24" t="n">
        <x:v>0</x:v>
      </x:c>
      <x:c r="D96" s="24" t="n">
        <x:v>6.72</x:v>
      </x:c>
      <x:c r="E96" s="24" t="n">
        <x:v>0</x:v>
      </x:c>
      <x:c r="F96" s="24" t="n">
        <x:v>0</x:v>
      </x:c>
      <x:c r="G96" s="24" t="n">
        <x:v>0</x:v>
      </x:c>
      <x:c r="H96" s="4"/>
      <x:c r="I96" s="4"/>
      <x:c r="J96" s="4"/>
      <x:c r="K96" s="4"/>
      <x:c r="L96" s="4"/>
    </x:row>
    <x:row r="97" ht="19" customHeight="1">
      <x:c r="A97" s="1" t="str">
        <x:v>Purchase of fixed assets</x:v>
      </x:c>
      <x:c r="B97" s="1"/>
      <x:c r="C97" s="24" t="n">
        <x:v>44.8514</x:v>
      </x:c>
      <x:c r="D97" s="24" t="n">
        <x:v>84.8891</x:v>
      </x:c>
      <x:c r="E97" s="24" t="n">
        <x:v>143.3012</x:v>
      </x:c>
      <x:c r="F97" s="24" t="n">
        <x:v>216.27</x:v>
      </x:c>
      <x:c r="G97" s="24" t="n">
        <x:v>323.38</x:v>
      </x:c>
      <x:c r="H97" s="4"/>
      <x:c r="I97" s="4"/>
      <x:c r="J97" s="4"/>
      <x:c r="K97" s="4"/>
      <x:c r="L97" s="4"/>
    </x:row>
    <x:row r="98" ht="19" customHeight="1">
      <x:c r="A98" s="1" t="str">
        <x:v>Capital advances / creditors cash adjustment</x:v>
      </x:c>
      <x:c r="B98" s="1"/>
      <x:c r="C98" s="24" t="n">
        <x:v>-3.1496</x:v>
      </x:c>
      <x:c r="D98" s="24" t="n">
        <x:v>3.9548</x:v>
      </x:c>
      <x:c r="E98" s="24" t="n">
        <x:v>-5.0401</x:v>
      </x:c>
      <x:c r="F98" s="24" t="n">
        <x:v>0.74</x:v>
      </x:c>
      <x:c r="G98" s="24" t="n">
        <x:v>16.25</x:v>
      </x:c>
      <x:c r="H98" s="4"/>
      <x:c r="I98" s="4"/>
      <x:c r="J98" s="4"/>
      <x:c r="K98" s="4"/>
      <x:c r="L98" s="4"/>
    </x:row>
    <x:row r="99" ht="19" customHeight="1">
      <x:c r="A99" s="1"/>
      <x:c r="B99" s="1"/>
      <x:c r="C99" s="4"/>
      <x:c r="D99" s="4"/>
      <x:c r="E99" s="4"/>
      <x:c r="F99" s="4"/>
      <x:c r="G99" s="4"/>
      <x:c r="H99" s="4"/>
      <x:c r="I99" s="4"/>
      <x:c r="J99" s="4"/>
      <x:c r="K99" s="4"/>
      <x:c r="L99" s="4"/>
    </x:row>
    <x:row r="100" ht="19" customHeight="1">
      <x:c r="A100" s="107" t="str">
        <x:v>Reported EBITDA reconciliation</x:v>
      </x:c>
      <x:c r="B100" s="107"/>
      <x:c r="C100" s="108"/>
      <x:c r="D100" s="108"/>
      <x:c r="E100" s="108"/>
      <x:c r="F100" s="108"/>
      <x:c r="G100" s="108"/>
      <x:c r="H100" s="4"/>
      <x:c r="I100" s="4"/>
      <x:c r="J100" s="4"/>
      <x:c r="K100" s="4"/>
      <x:c r="L100" s="4"/>
    </x:row>
    <x:row r="101" ht="19" customHeight="1">
      <x:c r="A101" s="1" t="str">
        <x:v>Management-reported EBITDA</x:v>
      </x:c>
      <x:c r="B101" s="1"/>
      <x:c r="C101" s="4"/>
      <x:c r="D101" s="4"/>
      <x:c r="E101" s="4"/>
      <x:c r="F101" s="24" t="n">
        <x:v>334.11</x:v>
      </x:c>
      <x:c r="G101" s="24" t="n">
        <x:v>492.91</x:v>
      </x:c>
      <x:c r="H101" s="4"/>
      <x:c r="I101" s="4"/>
      <x:c r="J101" s="4"/>
      <x:c r="K101" s="4"/>
      <x:c r="L101" s="4"/>
    </x:row>
    <x:row r="102" ht="19" customHeight="1">
      <x:c r="A102" s="1" t="str">
        <x:v>Operating EBITDA</x:v>
      </x:c>
      <x:c r="B102" s="1"/>
      <x:c r="C102" s="4"/>
      <x:c r="D102" s="4"/>
      <x:c r="E102" s="4"/>
      <x:c r="F102" s="4" t="n">
        <x:f>F18</x:f>
        <x:v>312.8899999999999</x:v>
      </x:c>
      <x:c r="G102" s="4" t="n">
        <x:f>G18</x:f>
        <x:v>469.37000000000035</x:v>
      </x:c>
      <x:c r="H102" s="4"/>
      <x:c r="I102" s="4"/>
      <x:c r="J102" s="4"/>
      <x:c r="K102" s="4"/>
      <x:c r="L102" s="4"/>
    </x:row>
    <x:row r="103" ht="19" customHeight="1">
      <x:c r="A103" s="1" t="str">
        <x:v>Other income</x:v>
      </x:c>
      <x:c r="B103" s="1"/>
      <x:c r="C103" s="4"/>
      <x:c r="D103" s="4"/>
      <x:c r="E103" s="4"/>
      <x:c r="F103" s="4" t="n">
        <x:f>F9</x:f>
        <x:v>16.64</x:v>
      </x:c>
      <x:c r="G103" s="4" t="n">
        <x:f>G9</x:f>
        <x:v>11.57</x:v>
      </x:c>
      <x:c r="H103" s="4"/>
      <x:c r="I103" s="4"/>
      <x:c r="J103" s="4"/>
      <x:c r="K103" s="4"/>
      <x:c r="L103" s="4"/>
    </x:row>
    <x:row r="104" ht="19" customHeight="1">
      <x:c r="A104" s="109" t="str">
        <x:v>Pre-tax other comprehensive income</x:v>
      </x:c>
      <x:c r="B104" s="62"/>
      <x:c r="C104" s="63"/>
      <x:c r="D104" s="63"/>
      <x:c r="E104" s="63"/>
      <x:c r="F104" s="103" t="n">
        <x:v>4.58</x:v>
      </x:c>
      <x:c r="G104" s="103" t="n">
        <x:v>11.97</x:v>
      </x:c>
      <x:c r="H104" s="4"/>
      <x:c r="I104" s="4"/>
      <x:c r="J104" s="4"/>
      <x:c r="K104" s="4"/>
      <x:c r="L104" s="4"/>
    </x:row>
    <x:row r="105" ht="19" customHeight="1">
      <x:c r="A105" s="1" t="str">
        <x:v>Operating EBITDA + other income + OCI</x:v>
      </x:c>
      <x:c r="B105" s="1"/>
      <x:c r="C105" s="4"/>
      <x:c r="D105" s="4"/>
      <x:c r="E105" s="4"/>
      <x:c r="F105" s="4" t="n">
        <x:f>SUM(F102:F104)</x:f>
        <x:v>334.10999999999984</x:v>
      </x:c>
      <x:c r="G105" s="4" t="n">
        <x:f>SUM(G102:G104)</x:f>
        <x:v>492.91000000000037</x:v>
      </x:c>
      <x:c r="H105" s="4"/>
      <x:c r="I105" s="4"/>
      <x:c r="J105" s="4"/>
      <x:c r="K105" s="4"/>
      <x:c r="L105" s="4"/>
    </x:row>
    <x:row r="106" ht="19" customHeight="1">
      <x:c r="A106" s="1" t="str">
        <x:v>Difference to management-reported EBITDA</x:v>
      </x:c>
      <x:c r="B106" s="1"/>
      <x:c r="C106" s="4"/>
      <x:c r="D106" s="4"/>
      <x:c r="E106" s="4"/>
      <x:c r="F106" s="86" t="n">
        <x:f>ROUND(F105-F101,8)</x:f>
        <x:v>0</x:v>
      </x:c>
      <x:c r="G106" s="86" t="n">
        <x:f>ROUND(G105-G101,8)</x:f>
        <x:v>0</x:v>
      </x:c>
      <x:c r="H106" s="4"/>
      <x:c r="I106" s="4"/>
      <x:c r="J106" s="4"/>
      <x:c r="K106" s="4"/>
      <x:c r="L106" s="4"/>
    </x:row>
    <x:row r="107" ht="19" customHeight="1">
      <x:c r="A107" s="1"/>
      <x:c r="B107" s="1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</x:row>
    <x:row r="108" ht="19" customHeight="1">
      <x:c r="A108" s="1" t="str">
        <x:v>Management EBITDA margin</x:v>
      </x:c>
      <x:c r="B108" s="1"/>
      <x:c r="C108" s="4"/>
      <x:c r="D108" s="4"/>
      <x:c r="E108" s="4"/>
      <x:c r="F108" s="104" t="n">
        <x:f>F101/(F8-F109)</x:f>
        <x:v>0.127478623836759</x:v>
      </x:c>
      <x:c r="G108" s="104" t="n">
        <x:f>G101/(G8-G109)</x:f>
        <x:v>0.12435132510059664</x:v>
      </x:c>
      <x:c r="H108" s="4"/>
      <x:c r="I108" s="4"/>
      <x:c r="J108" s="4"/>
      <x:c r="K108" s="4"/>
      <x:c r="L108" s="4"/>
    </x:row>
    <x:row r="109" ht="19" customHeight="1">
      <x:c r="A109" s="1" t="str">
        <x:v>Other operating revenue</x:v>
      </x:c>
      <x:c r="B109" s="1"/>
      <x:c r="C109" s="4"/>
      <x:c r="D109" s="4"/>
      <x:c r="E109" s="4"/>
      <x:c r="F109" s="24" t="n">
        <x:v>71.01</x:v>
      </x:c>
      <x:c r="G109" s="24" t="n">
        <x:v>76.95</x:v>
      </x:c>
      <x:c r="H109" s="4"/>
      <x:c r="I109" s="4"/>
      <x:c r="J109" s="4"/>
      <x:c r="K109" s="4"/>
      <x:c r="L109" s="4"/>
    </x:row>
    <x:row r="110" ht="19" customHeight="1">
      <x:c r="A110" s="1" t="str">
        <x:v>Interest income</x:v>
      </x:c>
      <x:c r="B110" s="1"/>
      <x:c r="C110" s="4"/>
      <x:c r="D110" s="4"/>
      <x:c r="E110" s="4"/>
      <x:c r="F110" s="24" t="n">
        <x:v>3.44</x:v>
      </x:c>
      <x:c r="G110" s="24" t="n">
        <x:v>3.32</x:v>
      </x:c>
      <x:c r="H110" s="4"/>
      <x:c r="I110" s="4"/>
      <x:c r="J110" s="4"/>
      <x:c r="K110" s="4"/>
      <x:c r="L110" s="4"/>
    </x:row>
    <x:row r="111" ht="19" customHeight="1">
      <x:c r="A111" s="1"/>
      <x:c r="B111" s="1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</x:row>
    <x:row r="112" ht="32" customHeight="1">
      <x:c r="A112" s="62" t="str">
        <x:v>The reported figure equals operating EBITDA plus other income and pre-tax OCI in both years. This is an arithmetic bridge, not a stated management definition.</x:v>
      </x:c>
      <x:c r="B112" s="62"/>
      <x:c r="C112" s="63"/>
      <x:c r="D112" s="63"/>
      <x:c r="E112" s="63"/>
      <x:c r="F112" s="63"/>
      <x:c r="G112" s="63"/>
      <x:c r="H112" s="4"/>
      <x:c r="I112" s="4"/>
      <x:c r="J112" s="4"/>
      <x:c r="K112" s="4"/>
      <x:c r="L112" s="4"/>
    </x:row>
    <x:row r="113" ht="19" customHeight="1">
      <x:c r="A113" s="1"/>
      <x:c r="B113" s="1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</x:row>
    <x:row r="114" ht="32" customHeight="1">
      <x:c r="A114" s="62" t="str">
        <x:v>Operating EBITDA excludes other income and OCI. Its margin includes other operating revenue in the denominator; management’s margin excludes that revenue.</x:v>
      </x:c>
      <x:c r="B114" s="62"/>
      <x:c r="C114" s="63"/>
      <x:c r="D114" s="63"/>
      <x:c r="E114" s="63"/>
      <x:c r="F114" s="63"/>
      <x:c r="G114" s="63"/>
      <x:c r="H114" s="4"/>
      <x:c r="I114" s="4"/>
      <x:c r="J114" s="4"/>
      <x:c r="K114" s="4"/>
      <x:c r="L114" s="4"/>
    </x:row>
    <x:row r="115" ht="19" customHeight="1">
      <x:c r="A115" s="1"/>
      <x:c r="B115" s="1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</x:row>
    <x:row r="116" ht="32" customHeight="1">
      <x:c r="A116" s="62" t="str">
        <x:v>Sources: Pricol Annual Report FY2026; Investor Presentation May2026. OCI is not operating profit and is not forecast.</x:v>
      </x:c>
      <x:c r="B116" s="62"/>
      <x:c r="C116" s="63"/>
      <x:c r="D116" s="63"/>
      <x:c r="E116" s="63"/>
      <x:c r="F116" s="63"/>
      <x:c r="G116" s="63"/>
      <x:c r="H116" s="4"/>
      <x:c r="I116" s="4"/>
      <x:c r="J116" s="4"/>
      <x:c r="K116" s="4"/>
      <x:c r="L116" s="4"/>
    </x:row>
    <x:row r="117" ht="19" customHeight="1">
      <x:c r="A117" s="1"/>
      <x:c r="B117" s="1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</x:row>
    <x:row r="118" ht="19" customHeight="1">
      <x:c r="A118" s="1"/>
      <x:c r="B118" s="1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</x:row>
    <x:row r="119" ht="19" customHeight="1">
      <x:c r="A119" s="1"/>
      <x:c r="B119" s="1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</x:row>
    <x:row r="120" ht="19" customHeight="1">
      <x:c r="A120" s="1"/>
      <x:c r="B120" s="1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</x:row>
    <x:row r="121" ht="19" customHeight="1">
      <x:c r="A121" s="1"/>
      <x:c r="B121" s="1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</x:row>
    <x:row r="122" ht="19" customHeight="1">
      <x:c r="A122" s="1"/>
      <x:c r="B122" s="1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</x:row>
    <x:row r="123" ht="19" customHeight="1">
      <x:c r="A123" s="1"/>
      <x:c r="B123" s="1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</x:row>
    <x:row r="124" ht="19" customHeight="1">
      <x:c r="A124" s="1"/>
      <x:c r="B124" s="1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</x:row>
    <x:row r="125" ht="19" customHeight="1">
      <x:c r="A125" s="1"/>
      <x:c r="B125" s="1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</x:row>
  </x:sheetData>
  <x:mergeCells>
    <x:mergeCell ref="A61:G61"/>
    <x:mergeCell ref="A62:G62"/>
    <x:mergeCell ref="A112:G112"/>
    <x:mergeCell ref="A114:G114"/>
    <x:mergeCell ref="A116:G1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F343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6" hidden="0" customWidth="1"/>
    <x:col min="2" max="2" width="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8" customHeight="1">
      <x:c r="A1" s="88" t="str">
        <x:v>Historical Analysis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</x:row>
    <x:row r="2" ht="19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9" customHeight="1">
      <x:c r="A3" s="1" t="str">
        <x:v>Pricol Limited | Consolidated | INR crore, except per-share data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19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19" customHeight="1">
      <x:c r="A5" s="91" t="str">
        <x:v>Metric</x:v>
      </x:c>
      <x:c r="B5" s="91"/>
      <x:c r="C5" s="91" t="str">
        <x:v>FY2022A</x:v>
      </x:c>
      <x:c r="D5" s="91" t="str">
        <x:v>FY2023A</x:v>
      </x:c>
      <x:c r="E5" s="91" t="str">
        <x:v>FY2024A</x:v>
      </x:c>
      <x:c r="F5" s="91" t="str">
        <x:v>FY2025A</x:v>
      </x:c>
      <x:c r="G5" s="91" t="str">
        <x:v>FY2026A</x:v>
      </x:c>
      <x:c r="H5" s="91"/>
      <x:c r="I5" s="91"/>
      <x:c r="J5" s="91"/>
      <x:c r="K5" s="91"/>
      <x:c r="L5" s="91"/>
    </x:row>
    <x:row r="6" ht="19" customHeight="1">
      <x:c r="A6" s="1"/>
      <x:c r="B6" s="1"/>
      <x:c r="C6" s="4"/>
      <x:c r="D6" s="4"/>
      <x:c r="E6" s="4"/>
      <x:c r="F6" s="4"/>
      <x:c r="G6" s="4"/>
      <x:c r="H6" s="4"/>
      <x:c r="I6" s="4"/>
      <x:c r="J6" s="4"/>
      <x:c r="K6" s="4"/>
      <x:c r="L6" s="4"/>
    </x:row>
    <x:row r="7" ht="19" customHeight="1">
      <x:c r="A7" s="1" t="str">
        <x:v>Revenue growth</x:v>
      </x:c>
      <x:c r="B7" s="1"/>
      <x:c r="C7" s="27" t="str">
        <x:f>"n.a."</x:f>
        <x:v>n.a.</x:v>
      </x:c>
      <x:c r="D7" s="28" t="n">
        <x:f>'02_Raw_Financials'!D8/'02_Raw_Financials'!C8-1</x:f>
        <x:v>0.26792885498470276</x:v>
      </x:c>
      <x:c r="E7" s="28" t="n">
        <x:f>'02_Raw_Financials'!E8/'02_Raw_Financials'!D8-1</x:f>
        <x:v>0.15992437712040264</x:v>
      </x:c>
      <x:c r="F7" s="28" t="n">
        <x:f>'02_Raw_Financials'!F8/'02_Raw_Financials'!E8-1</x:f>
        <x:v>0.1849374827860928</x:v>
      </x:c>
      <x:c r="G7" s="28" t="n">
        <x:f>'02_Raw_Financials'!G8/'02_Raw_Financials'!F8-1</x:f>
        <x:v>0.5010847276293502</x:v>
      </x:c>
      <x:c r="H7" s="4"/>
      <x:c r="I7" s="4"/>
      <x:c r="J7" s="4"/>
      <x:c r="K7" s="4"/>
      <x:c r="L7" s="4"/>
    </x:row>
    <x:row r="8" ht="19" customHeight="1">
      <x:c r="A8" s="1" t="str">
        <x:v>Operating EBITDA margin</x:v>
      </x:c>
      <x:c r="B8" s="1"/>
      <x:c r="C8" s="28" t="n">
        <x:f>'02_Raw_Financials'!C18/'02_Raw_Financials'!C8</x:f>
        <x:v>0.11690356057181327</x:v>
      </x:c>
      <x:c r="D8" s="28" t="n">
        <x:f>'02_Raw_Financials'!D18/'02_Raw_Financials'!D8</x:f>
        <x:v>0.11665454126594081</x:v>
      </x:c>
      <x:c r="E8" s="28" t="n">
        <x:f>'02_Raw_Financials'!E18/'02_Raw_Financials'!E8</x:f>
        <x:v>0.12019501164350116</x:v>
      </x:c>
      <x:c r="F8" s="28" t="n">
        <x:f>'02_Raw_Financials'!F18/'02_Raw_Financials'!F8</x:f>
        <x:v>0.1162330232696365</x:v>
      </x:c>
      <x:c r="G8" s="28" t="n">
        <x:f>'02_Raw_Financials'!G18/'02_Raw_Financials'!G8</x:f>
        <x:v>0.11615769154622856</x:v>
      </x:c>
      <x:c r="H8" s="4"/>
      <x:c r="I8" s="4"/>
      <x:c r="J8" s="4"/>
      <x:c r="K8" s="4"/>
      <x:c r="L8" s="4"/>
    </x:row>
    <x:row r="9" ht="19" customHeight="1">
      <x:c r="A9" s="1" t="str">
        <x:v>Net profit margin</x:v>
      </x:c>
      <x:c r="B9" s="1"/>
      <x:c r="C9" s="28" t="n">
        <x:f>'02_Raw_Financials'!C16/'02_Raw_Financials'!C8</x:f>
        <x:v>0.03307693069606263</x:v>
      </x:c>
      <x:c r="D9" s="28" t="n">
        <x:f>'02_Raw_Financials'!D16/'02_Raw_Financials'!D8</x:f>
        <x:v>0.06366169810310193</x:v>
      </x:c>
      <x:c r="E9" s="28" t="n">
        <x:f>'02_Raw_Financials'!E16/'02_Raw_Financials'!E8</x:f>
        <x:v>0.06189479511307048</x:v>
      </x:c>
      <x:c r="F9" s="28" t="n">
        <x:f>'02_Raw_Financials'!F16/'02_Raw_Financials'!F8</x:f>
        <x:v>0.06204864929121222</x:v>
      </x:c>
      <x:c r="G9" s="28" t="n">
        <x:f>'02_Raw_Financials'!G16/'02_Raw_Financials'!G8</x:f>
        <x:v>0.062066917442090676</x:v>
      </x:c>
      <x:c r="H9" s="4"/>
      <x:c r="I9" s="4"/>
      <x:c r="J9" s="4"/>
      <x:c r="K9" s="4"/>
      <x:c r="L9" s="4"/>
    </x:row>
    <x:row r="10" ht="19" customHeight="1">
      <x:c r="A10" s="1" t="str">
        <x:v>Asset turnover (average assets)</x:v>
      </x:c>
      <x:c r="B10" s="1"/>
      <x:c r="C10" s="4" t="str">
        <x:f>"n.a."</x:f>
        <x:v>n.a.</x:v>
      </x:c>
      <x:c r="D10" s="26" t="n">
        <x:f>'02_Raw_Financials'!D8/AVERAGE('02_Raw_Financials'!C32,'02_Raw_Financials'!D32)</x:f>
        <x:v>1.5629350955555368</x:v>
      </x:c>
      <x:c r="E10" s="26" t="n">
        <x:f>'02_Raw_Financials'!E8/AVERAGE('02_Raw_Financials'!D32,'02_Raw_Financials'!E32)</x:f>
        <x:v>1.6563353058881727</x:v>
      </x:c>
      <x:c r="F10" s="26" t="n">
        <x:f>'02_Raw_Financials'!F8/AVERAGE('02_Raw_Financials'!E32,'02_Raw_Financials'!F32)</x:f>
        <x:v>1.5905001541950645</x:v>
      </x:c>
      <x:c r="G10" s="26" t="n">
        <x:f>'02_Raw_Financials'!G8/AVERAGE('02_Raw_Financials'!F32,'02_Raw_Financials'!G32)</x:f>
        <x:v>1.8264906230083218</x:v>
      </x:c>
      <x:c r="H10" s="4"/>
      <x:c r="I10" s="4"/>
      <x:c r="J10" s="4"/>
      <x:c r="K10" s="4"/>
      <x:c r="L10" s="4"/>
    </x:row>
    <x:row r="11" ht="19" customHeight="1">
      <x:c r="A11" s="1" t="str">
        <x:v>Inventory days (closing / operating cost)</x:v>
      </x:c>
      <x:c r="B11" s="1"/>
      <x:c r="C11" s="26" t="n">
        <x:f>'02_Raw_Financials'!C27/'02_Raw_Financials'!C11*365</x:f>
        <x:v>63.27375236124168</x:v>
      </x:c>
      <x:c r="D11" s="26" t="n">
        <x:f>'02_Raw_Financials'!D27/'02_Raw_Financials'!D11*365</x:f>
        <x:v>57.31676066682708</x:v>
      </x:c>
      <x:c r="E11" s="26" t="n">
        <x:f>'02_Raw_Financials'!E27/'02_Raw_Financials'!E11*365</x:f>
        <x:v>58.485635395437505</x:v>
      </x:c>
      <x:c r="F11" s="26" t="n">
        <x:f>'02_Raw_Financials'!F27/'02_Raw_Financials'!F11*365</x:f>
        <x:v>55.63609958680638</x:v>
      </x:c>
      <x:c r="G11" s="26" t="n">
        <x:f>'02_Raw_Financials'!G27/'02_Raw_Financials'!G11*365</x:f>
        <x:v>55.11950395219843</x:v>
      </x:c>
      <x:c r="H11" s="4"/>
      <x:c r="I11" s="4"/>
      <x:c r="J11" s="4"/>
      <x:c r="K11" s="4"/>
      <x:c r="L11" s="4"/>
    </x:row>
    <x:row r="12" ht="19" customHeight="1">
      <x:c r="A12" s="1" t="str">
        <x:v>Receivable days (closing / revenue)</x:v>
      </x:c>
      <x:c r="B12" s="1"/>
      <x:c r="C12" s="26" t="n">
        <x:f>'02_Raw_Financials'!C28/'02_Raw_Financials'!C8*365</x:f>
        <x:v>56.45529412351154</x:v>
      </x:c>
      <x:c r="D12" s="26" t="n">
        <x:f>'02_Raw_Financials'!D28/'02_Raw_Financials'!D8*365</x:f>
        <x:v>50.127305985461675</x:v>
      </x:c>
      <x:c r="E12" s="26" t="n">
        <x:f>'02_Raw_Financials'!E28/'02_Raw_Financials'!E8*365</x:f>
        <x:v>46.117911694267534</x:v>
      </x:c>
      <x:c r="F12" s="26" t="n">
        <x:f>'02_Raw_Financials'!F28/'02_Raw_Financials'!F8*365</x:f>
        <x:v>64.09926743736813</x:v>
      </x:c>
      <x:c r="G12" s="26" t="n">
        <x:f>'02_Raw_Financials'!G28/'02_Raw_Financials'!G8*365</x:f>
        <x:v>52.19189269451593</x:v>
      </x:c>
      <x:c r="H12" s="4"/>
      <x:c r="I12" s="4"/>
      <x:c r="J12" s="4"/>
      <x:c r="K12" s="4"/>
      <x:c r="L12" s="4"/>
    </x:row>
    <x:row r="13" ht="19" customHeight="1">
      <x:c r="A13" s="1" t="str">
        <x:v>Payable days (closing / operating cost)</x:v>
      </x:c>
      <x:c r="B13" s="1"/>
      <x:c r="C13" s="26" t="n">
        <x:f>'02_Raw_Financials'!C43/'02_Raw_Financials'!C11*365</x:f>
        <x:v>72.22990833309386</x:v>
      </x:c>
      <x:c r="D13" s="26" t="n">
        <x:f>'02_Raw_Financials'!D43/'02_Raw_Financials'!D11*365</x:f>
        <x:v>59.62713841285435</x:v>
      </x:c>
      <x:c r="E13" s="26" t="n">
        <x:f>'02_Raw_Financials'!E43/'02_Raw_Financials'!E11*365</x:f>
        <x:v>59.498571939897296</x:v>
      </x:c>
      <x:c r="F13" s="26" t="n">
        <x:f>'02_Raw_Financials'!F43/'02_Raw_Financials'!F11*365</x:f>
        <x:v>58.282661420831175</x:v>
      </x:c>
      <x:c r="G13" s="26" t="n">
        <x:f>'02_Raw_Financials'!G43/'02_Raw_Financials'!G11*365</x:f>
        <x:v>55.82468367012654</x:v>
      </x:c>
      <x:c r="H13" s="4"/>
      <x:c r="I13" s="4"/>
      <x:c r="J13" s="4"/>
      <x:c r="K13" s="4"/>
      <x:c r="L13" s="4"/>
    </x:row>
    <x:row r="14" ht="19" customHeight="1">
      <x:c r="A14" s="1" t="str">
        <x:v>Operating cash flow / PAT</x:v>
      </x:c>
      <x:c r="B14" s="1"/>
      <x:c r="C14" s="26" t="n">
        <x:f>'02_Raw_Financials'!C50/'02_Raw_Financials'!C16</x:f>
        <x:v>3.5747264339830545</x:v>
      </x:c>
      <x:c r="D14" s="26" t="n">
        <x:f>'02_Raw_Financials'!D50/'02_Raw_Financials'!D16</x:f>
        <x:v>1.3056342648251238</x:v>
      </x:c>
      <x:c r="E14" s="26" t="n">
        <x:f>'02_Raw_Financials'!E50/'02_Raw_Financials'!E16</x:f>
        <x:v>1.8119236335577102</x:v>
      </x:c>
      <x:c r="F14" s="26" t="n">
        <x:f>'02_Raw_Financials'!F50/'02_Raw_Financials'!F16</x:f>
        <x:v>1.3376638927138838</x:v>
      </x:c>
      <x:c r="G14" s="26" t="n">
        <x:f>'02_Raw_Financials'!G50/'02_Raw_Financials'!G16</x:f>
        <x:v>1.121451355661882</x:v>
      </x:c>
      <x:c r="H14" s="4"/>
      <x:c r="I14" s="4"/>
      <x:c r="J14" s="4"/>
      <x:c r="K14" s="4"/>
      <x:c r="L14" s="4"/>
    </x:row>
    <x:row r="15" ht="19" customHeight="1">
      <x:c r="A15" s="1" t="str">
        <x:v>Cash capex / revenue</x:v>
      </x:c>
      <x:c r="B15" s="1"/>
      <x:c r="C15" s="28" t="n">
        <x:f>'02_Raw_Financials'!C56/'02_Raw_Financials'!C8</x:f>
        <x:v>0.0310747851563246</x:v>
      </x:c>
      <x:c r="D15" s="28" t="n">
        <x:f>'02_Raw_Financials'!D56/'02_Raw_Financials'!D8</x:f>
        <x:v>0.04132335546199819</x:v>
      </x:c>
      <x:c r="E15" s="28" t="n">
        <x:f>'02_Raw_Financials'!E56/'02_Raw_Financials'!E8</x:f>
        <x:v>0.0652973218428544</x:v>
      </x:c>
      <x:c r="F15" s="28" t="n">
        <x:f>'02_Raw_Financials'!F56/'02_Raw_Financials'!F8</x:f>
        <x:v>0.08006552943623882</x:v>
      </x:c>
      <x:c r="G15" s="28" t="n">
        <x:f>'02_Raw_Financials'!G56/'02_Raw_Financials'!G8</x:f>
        <x:v>0.0760072262918234</x:v>
      </x:c>
      <x:c r="H15" s="4"/>
      <x:c r="I15" s="4"/>
      <x:c r="J15" s="4"/>
      <x:c r="K15" s="4"/>
      <x:c r="L15" s="4"/>
    </x:row>
    <x:row r="16" ht="19" customHeight="1">
      <x:c r="A16" s="1" t="str">
        <x:v>Effective tax rate</x:v>
      </x:c>
      <x:c r="B16" s="1"/>
      <x:c r="C16" s="28" t="n">
        <x:f>'02_Raw_Financials'!C15/'02_Raw_Financials'!C14</x:f>
        <x:v>0.36355154622480995</x:v>
      </x:c>
      <x:c r="D16" s="28" t="n">
        <x:f>'02_Raw_Financials'!D15/'02_Raw_Financials'!D14</x:f>
        <x:v>0.1496023734824717</x:v>
      </x:c>
      <x:c r="E16" s="28" t="n">
        <x:f>'02_Raw_Financials'!E15/'02_Raw_Financials'!E14</x:f>
        <x:v>0.24363625214222778</x:v>
      </x:c>
      <x:c r="F16" s="28" t="n">
        <x:f>'02_Raw_Financials'!F15/'02_Raw_Financials'!F14</x:f>
        <x:v>0.26291867084418163</x:v>
      </x:c>
      <x:c r="G16" s="28" t="n">
        <x:f>'02_Raw_Financials'!G15/'02_Raw_Financials'!G14</x:f>
        <x:v>0.24215869946213817</x:v>
      </x:c>
      <x:c r="H16" s="4"/>
      <x:c r="I16" s="4"/>
      <x:c r="J16" s="4"/>
      <x:c r="K16" s="4"/>
      <x:c r="L16" s="4"/>
    </x:row>
    <x:row r="17" ht="19" customHeight="1">
      <x:c r="A17" s="1" t="str">
        <x:v>Borrowings and leases</x:v>
      </x:c>
      <x:c r="B17" s="1"/>
      <x:c r="C17" s="26" t="n">
        <x:f>SUM('02_Raw_Financials'!C39:'02_Raw_Financials'!C42)</x:f>
        <x:v>153.4183</x:v>
      </x:c>
      <x:c r="D17" s="26" t="n">
        <x:f>SUM('02_Raw_Financials'!D39:'02_Raw_Financials'!D42)</x:f>
        <x:v>110.32809999999999</x:v>
      </x:c>
      <x:c r="E17" s="26" t="n">
        <x:f>SUM('02_Raw_Financials'!E39:'02_Raw_Financials'!E42)</x:f>
        <x:v>60.8833</x:v>
      </x:c>
      <x:c r="F17" s="26" t="n">
        <x:f>SUM('02_Raw_Financials'!F39:'02_Raw_Financials'!F42)</x:f>
        <x:v>278.84999999999997</x:v>
      </x:c>
      <x:c r="G17" s="26" t="n">
        <x:f>SUM('02_Raw_Financials'!G39:'02_Raw_Financials'!G42)</x:f>
        <x:v>379.1599999999999</x:v>
      </x:c>
      <x:c r="H17" s="4"/>
      <x:c r="I17" s="4"/>
      <x:c r="J17" s="4"/>
      <x:c r="K17" s="4"/>
      <x:c r="L17" s="4"/>
    </x:row>
    <x:row r="18" ht="19" customHeight="1">
      <x:c r="A18" s="1" t="str">
        <x:v>Net debt incl. leases</x:v>
      </x:c>
      <x:c r="B18" s="1"/>
      <x:c r="C18" s="26" t="n">
        <x:f>C17-'02_Raw_Financials'!C29-'02_Raw_Financials'!C30</x:f>
        <x:v>128.70219999999998</x:v>
      </x:c>
      <x:c r="D18" s="26" t="n">
        <x:f>D17-'02_Raw_Financials'!D29-'02_Raw_Financials'!D30</x:f>
        <x:v>50.69209999999999</x:v>
      </x:c>
      <x:c r="E18" s="26" t="n">
        <x:f>E17-'02_Raw_Financials'!E29-'02_Raw_Financials'!E30</x:f>
        <x:v>-56.8275</x:v>
      </x:c>
      <x:c r="F18" s="26" t="n">
        <x:f>F17-'02_Raw_Financials'!F29-'02_Raw_Financials'!F30</x:f>
        <x:v>170.82999999999998</x:v>
      </x:c>
      <x:c r="G18" s="26" t="n">
        <x:f>G17-'02_Raw_Financials'!G29-'02_Raw_Financials'!G30</x:f>
        <x:v>254.39999999999986</x:v>
      </x:c>
      <x:c r="H18" s="4"/>
      <x:c r="I18" s="4"/>
      <x:c r="J18" s="4"/>
      <x:c r="K18" s="4"/>
      <x:c r="L18" s="4"/>
    </x:row>
    <x:row r="19" ht="19" customHeight="1">
      <x:c r="A19" s="1" t="str">
        <x:v>Operating working capital</x:v>
      </x:c>
      <x:c r="B19" s="1"/>
      <x:c r="C19" s="26" t="n">
        <x:f>'02_Raw_Financials'!C27+'02_Raw_Financials'!C28-'02_Raw_Financials'!C43</x:f>
        <x:v>205.449</x:v>
      </x:c>
      <x:c r="D19" s="26" t="n">
        <x:f>'02_Raw_Financials'!D27+'02_Raw_Financials'!D28-'02_Raw_Financials'!D43</x:f>
        <x:v>258.028</x:v>
      </x:c>
      <x:c r="E19" s="26" t="n">
        <x:f>'02_Raw_Financials'!E27+'02_Raw_Financials'!E28-'02_Raw_Financials'!E43</x:f>
        <x:v>281.4939</x:v>
      </x:c>
      <x:c r="F19" s="26" t="n">
        <x:f>'02_Raw_Financials'!F27+'02_Raw_Financials'!F28-'02_Raw_Financials'!F43</x:f>
        <x:v>455.49</x:v>
      </x:c>
      <x:c r="G19" s="26" t="n">
        <x:f>'02_Raw_Financials'!G27+'02_Raw_Financials'!G28-'02_Raw_Financials'!G43</x:f>
        <x:v>570.9000000000001</x:v>
      </x:c>
      <x:c r="H19" s="4"/>
      <x:c r="I19" s="4"/>
      <x:c r="J19" s="4"/>
      <x:c r="K19" s="4"/>
      <x:c r="L19" s="4"/>
    </x:row>
    <x:row r="20" ht="19" customHeight="1">
      <x:c r="A20" s="1" t="str">
        <x:v>Operating working capital / revenue</x:v>
      </x:c>
      <x:c r="B20" s="1"/>
      <x:c r="C20" s="28" t="n">
        <x:f>C19/'02_Raw_Financials'!C8</x:f>
        <x:v>0.13300313609261752</x:v>
      </x:c>
      <x:c r="D20" s="28" t="n">
        <x:f>D19/'02_Raw_Financials'!D8</x:f>
        <x:v>0.13174368300150208</x:v>
      </x:c>
      <x:c r="E20" s="28" t="n">
        <x:f>E19/'02_Raw_Financials'!E8</x:f>
        <x:v>0.12390883580702254</x:v>
      </x:c>
      <x:c r="F20" s="28" t="n">
        <x:f>F19/'02_Raw_Financials'!F8</x:f>
        <x:v>0.1692063657166632</x:v>
      </x:c>
      <x:c r="G20" s="28" t="n">
        <x:f>G19/'02_Raw_Financials'!G8</x:f>
        <x:v>0.14128390417739065</x:v>
      </x:c>
      <x:c r="H20" s="4"/>
      <x:c r="I20" s="4"/>
      <x:c r="J20" s="4"/>
      <x:c r="K20" s="4"/>
      <x:c r="L20" s="4"/>
    </x:row>
    <x:row r="21" ht="19" customHeight="1">
      <x:c r="A21" s="1"/>
      <x:c r="B21" s="1"/>
      <x:c r="C21" s="4"/>
      <x:c r="D21" s="4"/>
      <x:c r="E21" s="4"/>
      <x:c r="F21" s="4"/>
      <x:c r="G21" s="4"/>
      <x:c r="H21" s="4"/>
      <x:c r="I21" s="4"/>
      <x:c r="J21" s="4"/>
      <x:c r="K21" s="4"/>
      <x:c r="L21" s="4"/>
    </x:row>
    <x:row r="22" ht="19" customHeight="1">
      <x:c r="A22" s="1"/>
      <x:c r="B22" s="1"/>
      <x:c r="C22" s="4"/>
      <x:c r="D22" s="4"/>
      <x:c r="E22" s="4"/>
      <x:c r="F22" s="4"/>
      <x:c r="G22" s="4"/>
      <x:c r="H22" s="4"/>
      <x:c r="I22" s="4"/>
      <x:c r="J22" s="4"/>
      <x:c r="K22" s="4"/>
      <x:c r="L22" s="4"/>
    </x:row>
    <x:row r="23" ht="32" customHeight="1">
      <x:c r="A23" s="62" t="str">
        <x:v>FY2025 includes two months of the acquired plastics business; FY2026 includes a full year. Growth is not purely organic.</x:v>
      </x:c>
      <x:c r="B23" s="62"/>
      <x:c r="C23" s="63"/>
      <x:c r="D23" s="63"/>
      <x:c r="E23" s="63"/>
      <x:c r="F23" s="63"/>
      <x:c r="G23" s="63"/>
      <x:c r="H23" s="4"/>
      <x:c r="I23" s="4"/>
      <x:c r="J23" s="4"/>
      <x:c r="K23" s="4"/>
      <x:c r="L23" s="4"/>
    </x:row>
    <x:row r="24" ht="19" customHeight="1">
      <x:c r="A24" s="1"/>
      <x:c r="B24" s="1"/>
      <x:c r="C24" s="4"/>
      <x:c r="D24" s="4"/>
      <x:c r="E24" s="4"/>
      <x:c r="F24" s="4"/>
      <x:c r="G24" s="4"/>
      <x:c r="H24" s="4"/>
      <x:c r="I24" s="4"/>
      <x:c r="J24" s="4"/>
      <x:c r="K24" s="4"/>
      <x:c r="L24" s="4"/>
    </x:row>
    <x:row r="25" ht="32" customHeight="1">
      <x:c r="A25" s="62" t="str">
        <x:v>Inventory and payable days use operating expenses as a consistent cost proxy. FY2025 supplier-finance reclassification limits payable-day comparability.</x:v>
      </x:c>
      <x:c r="B25" s="62"/>
      <x:c r="C25" s="63"/>
      <x:c r="D25" s="63"/>
      <x:c r="E25" s="63"/>
      <x:c r="F25" s="63"/>
      <x:c r="G25" s="63"/>
      <x:c r="H25" s="4"/>
      <x:c r="I25" s="4"/>
      <x:c r="J25" s="4"/>
      <x:c r="K25" s="4"/>
      <x:c r="L25" s="4"/>
    </x:row>
    <x:row r="26" ht="19" customHeight="1">
      <x:c r="A26" s="1"/>
      <x:c r="B26" s="1"/>
      <x:c r="C26" s="4"/>
      <x:c r="D26" s="4"/>
      <x:c r="E26" s="4"/>
      <x:c r="F26" s="4"/>
      <x:c r="G26" s="4"/>
      <x:c r="H26" s="4"/>
      <x:c r="I26" s="4"/>
      <x:c r="J26" s="4"/>
      <x:c r="K26" s="4"/>
      <x:c r="L26" s="4"/>
    </x:row>
    <x:row r="27" ht="19" customHeight="1">
      <x:c r="A27" s="1"/>
      <x:c r="B27" s="1"/>
      <x:c r="C27" s="4"/>
      <x:c r="D27" s="4"/>
      <x:c r="E27" s="4"/>
      <x:c r="F27" s="4"/>
      <x:c r="G27" s="4"/>
      <x:c r="H27" s="4"/>
      <x:c r="I27" s="4"/>
      <x:c r="J27" s="4"/>
      <x:c r="K27" s="4"/>
      <x:c r="L27" s="4"/>
    </x:row>
    <x:row r="28" ht="19" customHeight="1">
      <x:c r="A28" s="1"/>
      <x:c r="B28" s="1"/>
      <x:c r="C28" s="4"/>
      <x:c r="D28" s="4"/>
      <x:c r="E28" s="4"/>
      <x:c r="F28" s="4"/>
      <x:c r="G28" s="4"/>
      <x:c r="H28" s="4"/>
      <x:c r="I28" s="4"/>
      <x:c r="J28" s="4"/>
      <x:c r="K28" s="4"/>
      <x:c r="L28" s="4"/>
    </x:row>
    <x:row r="29" ht="19" customHeight="1">
      <x:c r="A29" s="1"/>
      <x:c r="B29" s="1"/>
      <x:c r="C29" s="4"/>
      <x:c r="D29" s="4"/>
      <x:c r="E29" s="4"/>
      <x:c r="F29" s="4"/>
      <x:c r="G29" s="4"/>
      <x:c r="H29" s="4"/>
      <x:c r="I29" s="4"/>
      <x:c r="J29" s="4"/>
      <x:c r="K29" s="4"/>
      <x:c r="L29" s="4"/>
    </x:row>
    <x:row r="30" ht="19" customHeight="1">
      <x:c r="A30" s="1"/>
      <x:c r="B30" s="1"/>
      <x:c r="C30" s="4"/>
      <x:c r="D30" s="4"/>
      <x:c r="E30" s="4"/>
      <x:c r="F30" s="4"/>
      <x:c r="G30" s="4"/>
      <x:c r="H30" s="4"/>
      <x:c r="I30" s="4"/>
      <x:c r="J30" s="4"/>
      <x:c r="K30" s="4"/>
      <x:c r="L30" s="4"/>
    </x:row>
    <x:row r="31" ht="19" customHeight="1">
      <x:c r="A31" s="1"/>
      <x:c r="B31" s="1"/>
      <x:c r="C31" s="4"/>
      <x:c r="D31" s="4"/>
      <x:c r="E31" s="4"/>
      <x:c r="F31" s="4"/>
      <x:c r="G31" s="4"/>
      <x:c r="H31" s="4"/>
      <x:c r="I31" s="4"/>
      <x:c r="J31" s="4"/>
      <x:c r="K31" s="4"/>
      <x:c r="L31" s="4"/>
    </x:row>
    <x:row r="32" ht="19" customHeight="1">
      <x:c r="A32" s="1"/>
      <x:c r="B32" s="1"/>
      <x:c r="C32" s="4"/>
      <x:c r="D32" s="4"/>
      <x:c r="E32" s="4"/>
      <x:c r="F32" s="4"/>
      <x:c r="G32" s="4"/>
      <x:c r="H32" s="4"/>
      <x:c r="I32" s="4"/>
      <x:c r="J32" s="4"/>
      <x:c r="K32" s="4"/>
      <x:c r="L32" s="4"/>
    </x:row>
    <x:row r="33" ht="19" customHeight="1">
      <x:c r="A33" s="1"/>
      <x:c r="B33" s="1"/>
      <x:c r="C33" s="4"/>
      <x:c r="D33" s="4"/>
      <x:c r="E33" s="4"/>
      <x:c r="F33" s="4"/>
      <x:c r="G33" s="4"/>
      <x:c r="H33" s="4"/>
      <x:c r="I33" s="4"/>
      <x:c r="J33" s="4"/>
      <x:c r="K33" s="4"/>
      <x:c r="L33" s="4"/>
    </x:row>
    <x:row r="34" ht="19" customHeight="1">
      <x:c r="A34" s="1"/>
      <x:c r="B34" s="1"/>
      <x:c r="C34" s="4"/>
      <x:c r="D34" s="4"/>
      <x:c r="E34" s="4"/>
      <x:c r="F34" s="4"/>
      <x:c r="G34" s="4"/>
      <x:c r="H34" s="4"/>
      <x:c r="I34" s="4"/>
      <x:c r="J34" s="4"/>
      <x:c r="K34" s="4"/>
      <x:c r="L34" s="4"/>
    </x:row>
    <x:row r="35" ht="19" customHeight="1">
      <x:c r="A35" s="1"/>
      <x:c r="B35" s="1"/>
      <x:c r="C35" s="4"/>
      <x:c r="D35" s="4"/>
      <x:c r="E35" s="4"/>
      <x:c r="F35" s="4"/>
      <x:c r="G35" s="4"/>
      <x:c r="H35" s="4"/>
      <x:c r="I35" s="4"/>
      <x:c r="J35" s="4"/>
      <x:c r="K35" s="4"/>
      <x:c r="L35" s="4"/>
    </x:row>
    <x:row r="36" ht="19" customHeight="1">
      <x:c r="A36" s="1"/>
      <x:c r="B36" s="1"/>
      <x:c r="C36" s="4"/>
      <x:c r="D36" s="4"/>
      <x:c r="E36" s="4"/>
      <x:c r="F36" s="4"/>
      <x:c r="G36" s="4"/>
      <x:c r="H36" s="4"/>
      <x:c r="I36" s="4"/>
      <x:c r="J36" s="4"/>
      <x:c r="K36" s="4"/>
      <x:c r="L36" s="4"/>
    </x:row>
    <x:row r="37" ht="19" customHeight="1">
      <x:c r="A37" s="1"/>
      <x:c r="B37" s="1"/>
      <x:c r="C37" s="4"/>
      <x:c r="D37" s="4"/>
      <x:c r="E37" s="4"/>
      <x:c r="F37" s="4"/>
      <x:c r="G37" s="4"/>
      <x:c r="H37" s="4"/>
      <x:c r="I37" s="4"/>
      <x:c r="J37" s="4"/>
      <x:c r="K37" s="4"/>
      <x:c r="L37" s="4"/>
    </x:row>
    <x:row r="38" ht="19" customHeight="1">
      <x:c r="A38" s="1"/>
      <x:c r="B38" s="1"/>
      <x:c r="C38" s="4"/>
      <x:c r="D38" s="4"/>
      <x:c r="E38" s="4"/>
      <x:c r="F38" s="4"/>
      <x:c r="G38" s="4"/>
      <x:c r="H38" s="4"/>
      <x:c r="I38" s="4"/>
      <x:c r="J38" s="4"/>
      <x:c r="K38" s="4"/>
      <x:c r="L38" s="4"/>
    </x:row>
    <x:row r="39" ht="19" customHeight="1">
      <x:c r="A39" s="1"/>
      <x:c r="B39" s="1"/>
      <x:c r="C39" s="4"/>
      <x:c r="D39" s="4"/>
      <x:c r="E39" s="4"/>
      <x:c r="F39" s="4"/>
      <x:c r="G39" s="4"/>
      <x:c r="H39" s="4"/>
      <x:c r="I39" s="4"/>
      <x:c r="J39" s="4"/>
      <x:c r="K39" s="4"/>
      <x:c r="L39" s="4"/>
    </x:row>
    <x:row r="40" ht="19" customHeight="1">
      <x:c r="A40" s="1"/>
      <x:c r="B40" s="1"/>
      <x:c r="C40" s="4"/>
      <x:c r="D40" s="4"/>
      <x:c r="E40" s="4"/>
      <x:c r="F40" s="4"/>
      <x:c r="G40" s="4"/>
      <x:c r="H40" s="4"/>
      <x:c r="I40" s="4"/>
      <x:c r="J40" s="4"/>
      <x:c r="K40" s="4"/>
      <x:c r="L40" s="4"/>
    </x:row>
    <x:row r="41" ht="19" customHeight="1">
      <x:c r="A41" s="1"/>
      <x:c r="B41" s="1"/>
      <x:c r="C41" s="4"/>
      <x:c r="D41" s="4"/>
      <x:c r="E41" s="4"/>
      <x:c r="F41" s="4"/>
      <x:c r="G41" s="4"/>
      <x:c r="H41" s="4"/>
      <x:c r="I41" s="4"/>
      <x:c r="J41" s="4"/>
      <x:c r="K41" s="4"/>
      <x:c r="L41" s="4"/>
    </x:row>
    <x:row r="42" ht="19" customHeight="1">
      <x:c r="A42" s="1"/>
      <x:c r="B42" s="1"/>
      <x:c r="C42" s="4"/>
      <x:c r="D42" s="4"/>
      <x:c r="E42" s="4"/>
      <x:c r="F42" s="4"/>
      <x:c r="G42" s="4"/>
      <x:c r="H42" s="4"/>
      <x:c r="I42" s="4"/>
      <x:c r="J42" s="4"/>
      <x:c r="K42" s="4"/>
      <x:c r="L42" s="4"/>
    </x:row>
    <x:row r="43" ht="19" customHeight="1">
      <x:c r="A43" s="1"/>
      <x:c r="B43" s="1"/>
      <x:c r="C43" s="4"/>
      <x:c r="D43" s="4"/>
      <x:c r="E43" s="4"/>
      <x:c r="F43" s="4"/>
      <x:c r="G43" s="4"/>
      <x:c r="H43" s="4"/>
      <x:c r="I43" s="4"/>
      <x:c r="J43" s="4"/>
      <x:c r="K43" s="4"/>
      <x:c r="L43" s="4"/>
    </x:row>
    <x:row r="44" ht="19" customHeight="1">
      <x:c r="A44" s="1"/>
      <x:c r="B44" s="1"/>
      <x:c r="C44" s="4"/>
      <x:c r="D44" s="4"/>
      <x:c r="E44" s="4"/>
      <x:c r="F44" s="4"/>
      <x:c r="G44" s="4"/>
      <x:c r="H44" s="4"/>
      <x:c r="I44" s="4"/>
      <x:c r="J44" s="4"/>
      <x:c r="K44" s="4"/>
      <x:c r="L44" s="4"/>
    </x:row>
    <x:row r="45" ht="19" customHeight="1">
      <x:c r="A45" s="1"/>
      <x:c r="B45" s="1"/>
      <x:c r="C45" s="4"/>
      <x:c r="D45" s="4"/>
      <x:c r="E45" s="4"/>
      <x:c r="F45" s="4"/>
      <x:c r="G45" s="4"/>
      <x:c r="H45" s="4"/>
      <x:c r="I45" s="4"/>
      <x:c r="J45" s="4"/>
      <x:c r="K45" s="4"/>
      <x:c r="L45" s="4"/>
    </x:row>
    <x:row r="46" ht="19" customHeight="1">
      <x:c r="A46" s="1"/>
      <x:c r="B46" s="1"/>
      <x:c r="C46" s="4"/>
      <x:c r="D46" s="4"/>
      <x:c r="E46" s="4"/>
      <x:c r="F46" s="4"/>
      <x:c r="G46" s="4"/>
      <x:c r="H46" s="4"/>
      <x:c r="I46" s="4"/>
      <x:c r="J46" s="4"/>
      <x:c r="K46" s="4"/>
      <x:c r="L46" s="4"/>
    </x:row>
    <x:row r="47" ht="19" customHeight="1">
      <x:c r="A47" s="1"/>
      <x:c r="B47" s="1"/>
      <x:c r="C47" s="4"/>
      <x:c r="D47" s="4"/>
      <x:c r="E47" s="4"/>
      <x:c r="F47" s="4"/>
      <x:c r="G47" s="4"/>
      <x:c r="H47" s="4"/>
      <x:c r="I47" s="4"/>
      <x:c r="J47" s="4"/>
      <x:c r="K47" s="4"/>
      <x:c r="L47" s="4"/>
    </x:row>
    <x:row r="48" ht="19" customHeight="1">
      <x:c r="A48" s="1"/>
      <x:c r="B48" s="1"/>
      <x:c r="C48" s="4"/>
      <x:c r="D48" s="4"/>
      <x:c r="E48" s="4"/>
      <x:c r="F48" s="4"/>
      <x:c r="G48" s="4"/>
      <x:c r="H48" s="4"/>
      <x:c r="I48" s="4"/>
      <x:c r="J48" s="4"/>
      <x:c r="K48" s="4"/>
      <x:c r="L48" s="4"/>
    </x:row>
    <x:row r="49" ht="19" customHeight="1">
      <x:c r="A49" s="1"/>
      <x:c r="B49" s="1"/>
      <x:c r="C49" s="4"/>
      <x:c r="D49" s="4"/>
      <x:c r="E49" s="4"/>
      <x:c r="F49" s="4"/>
      <x:c r="G49" s="4"/>
      <x:c r="H49" s="4"/>
      <x:c r="I49" s="4"/>
      <x:c r="J49" s="4"/>
      <x:c r="K49" s="4"/>
      <x:c r="L49" s="4"/>
    </x:row>
    <x:row r="50" ht="19" customHeight="1">
      <x:c r="A50" s="1"/>
      <x:c r="B50" s="1"/>
      <x:c r="C50" s="4"/>
      <x:c r="D50" s="4"/>
      <x:c r="E50" s="4"/>
      <x:c r="F50" s="4"/>
      <x:c r="G50" s="4"/>
      <x:c r="H50" s="4"/>
      <x:c r="I50" s="4"/>
      <x:c r="J50" s="4"/>
      <x:c r="K50" s="4"/>
      <x:c r="L50" s="4"/>
    </x:row>
    <x:row r="51" ht="19" customHeight="1">
      <x:c r="A51" s="1"/>
      <x:c r="B51" s="1"/>
      <x:c r="C51" s="4"/>
      <x:c r="D51" s="4"/>
      <x:c r="E51" s="4"/>
      <x:c r="F51" s="4"/>
      <x:c r="G51" s="4"/>
      <x:c r="H51" s="4"/>
      <x:c r="I51" s="4"/>
      <x:c r="J51" s="4"/>
      <x:c r="K51" s="4"/>
      <x:c r="L51" s="4"/>
    </x:row>
    <x:row r="52" ht="19" customHeight="1">
      <x:c r="A52" s="1"/>
      <x:c r="B52" s="1"/>
      <x:c r="C52" s="4"/>
      <x:c r="D52" s="4"/>
      <x:c r="E52" s="4"/>
      <x:c r="F52" s="4"/>
      <x:c r="G52" s="4"/>
      <x:c r="H52" s="4"/>
      <x:c r="I52" s="4"/>
      <x:c r="J52" s="4"/>
      <x:c r="K52" s="4"/>
      <x:c r="L52" s="4"/>
    </x:row>
    <x:row r="53" ht="19" customHeight="1">
      <x:c r="A53" s="1"/>
      <x:c r="B53" s="1"/>
      <x:c r="C53" s="4"/>
      <x:c r="D53" s="4"/>
      <x:c r="E53" s="4"/>
      <x:c r="F53" s="4"/>
      <x:c r="G53" s="4"/>
      <x:c r="H53" s="4"/>
      <x:c r="I53" s="4"/>
      <x:c r="J53" s="4"/>
      <x:c r="K53" s="4"/>
      <x:c r="L53" s="4"/>
    </x:row>
    <x:row r="54" ht="19" customHeight="1">
      <x:c r="A54" s="1"/>
      <x:c r="B54" s="1"/>
      <x:c r="C54" s="4"/>
      <x:c r="D54" s="4"/>
      <x:c r="E54" s="4"/>
      <x:c r="F54" s="4"/>
      <x:c r="G54" s="4"/>
      <x:c r="H54" s="4"/>
      <x:c r="I54" s="4"/>
      <x:c r="J54" s="4"/>
      <x:c r="K54" s="4"/>
      <x:c r="L54" s="4"/>
    </x:row>
    <x:row r="55" ht="19" customHeight="1">
      <x:c r="A55" s="1"/>
      <x:c r="B55" s="1"/>
      <x:c r="C55" s="4"/>
      <x:c r="D55" s="4"/>
      <x:c r="E55" s="4"/>
      <x:c r="F55" s="4"/>
      <x:c r="G55" s="4"/>
      <x:c r="H55" s="4"/>
      <x:c r="I55" s="4"/>
      <x:c r="J55" s="4"/>
      <x:c r="K55" s="4"/>
      <x:c r="L55" s="4"/>
    </x:row>
    <x:row r="56" ht="19" customHeight="1">
      <x:c r="A56" s="1"/>
      <x:c r="B56" s="1"/>
      <x:c r="C56" s="4"/>
      <x:c r="D56" s="4"/>
      <x:c r="E56" s="4"/>
      <x:c r="F56" s="4"/>
      <x:c r="G56" s="4"/>
      <x:c r="H56" s="4"/>
      <x:c r="I56" s="4"/>
      <x:c r="J56" s="4"/>
      <x:c r="K56" s="4"/>
      <x:c r="L56" s="4"/>
    </x:row>
    <x:row r="57" ht="19" customHeight="1">
      <x:c r="A57" s="1"/>
      <x:c r="B57" s="1"/>
      <x:c r="C57" s="4"/>
      <x:c r="D57" s="4"/>
      <x:c r="E57" s="4"/>
      <x:c r="F57" s="4"/>
      <x:c r="G57" s="4"/>
      <x:c r="H57" s="4"/>
      <x:c r="I57" s="4"/>
      <x:c r="J57" s="4"/>
      <x:c r="K57" s="4"/>
      <x:c r="L57" s="4"/>
    </x:row>
    <x:row r="58" ht="19" customHeight="1">
      <x:c r="A58" s="1"/>
      <x:c r="B58" s="1"/>
      <x:c r="C58" s="4"/>
      <x:c r="D58" s="4"/>
      <x:c r="E58" s="4"/>
      <x:c r="F58" s="4"/>
      <x:c r="G58" s="4"/>
      <x:c r="H58" s="4"/>
      <x:c r="I58" s="4"/>
      <x:c r="J58" s="4"/>
      <x:c r="K58" s="4"/>
      <x:c r="L58" s="4"/>
    </x:row>
    <x:row r="59" ht="19" customHeight="1">
      <x:c r="A59" s="1"/>
      <x:c r="B59" s="1"/>
      <x:c r="C59" s="4"/>
      <x:c r="D59" s="4"/>
      <x:c r="E59" s="4"/>
      <x:c r="F59" s="4"/>
      <x:c r="G59" s="4"/>
      <x:c r="H59" s="4"/>
      <x:c r="I59" s="4"/>
      <x:c r="J59" s="4"/>
      <x:c r="K59" s="4"/>
      <x:c r="L59" s="4"/>
    </x:row>
    <x:row r="60" ht="19" customHeight="1">
      <x:c r="A60" s="1"/>
      <x:c r="B60" s="1"/>
      <x:c r="C60" s="4"/>
      <x:c r="D60" s="4"/>
      <x:c r="E60" s="4"/>
      <x:c r="F60" s="4"/>
      <x:c r="G60" s="4"/>
      <x:c r="H60" s="4"/>
      <x:c r="I60" s="4"/>
      <x:c r="J60" s="4"/>
      <x:c r="K60" s="4"/>
      <x:c r="L60" s="4"/>
    </x:row>
    <x:row r="61" ht="19" customHeight="1">
      <x:c r="A61" s="1"/>
      <x:c r="B61" s="1"/>
      <x:c r="C61" s="4"/>
      <x:c r="D61" s="4"/>
      <x:c r="E61" s="4"/>
      <x:c r="F61" s="4"/>
      <x:c r="G61" s="4"/>
      <x:c r="H61" s="4"/>
      <x:c r="I61" s="4"/>
      <x:c r="J61" s="4"/>
      <x:c r="K61" s="4"/>
      <x:c r="L61" s="4"/>
    </x:row>
    <x:row r="62" ht="19" customHeight="1">
      <x:c r="A62" s="1"/>
      <x:c r="B62" s="1"/>
      <x:c r="C62" s="4"/>
      <x:c r="D62" s="4"/>
      <x:c r="E62" s="4"/>
      <x:c r="F62" s="4"/>
      <x:c r="G62" s="4"/>
      <x:c r="H62" s="4"/>
      <x:c r="I62" s="4"/>
      <x:c r="J62" s="4"/>
      <x:c r="K62" s="4"/>
      <x:c r="L62" s="4"/>
    </x:row>
    <x:row r="63" ht="19" customHeight="1">
      <x:c r="A63" s="1"/>
      <x:c r="B63" s="1"/>
      <x:c r="C63" s="4"/>
      <x:c r="D63" s="4"/>
      <x:c r="E63" s="4"/>
      <x:c r="F63" s="4"/>
      <x:c r="G63" s="4"/>
      <x:c r="H63" s="4"/>
      <x:c r="I63" s="4"/>
      <x:c r="J63" s="4"/>
      <x:c r="K63" s="4"/>
      <x:c r="L63" s="4"/>
    </x:row>
    <x:row r="64" ht="19" customHeight="1">
      <x:c r="A64" s="1"/>
      <x:c r="B64" s="1"/>
      <x:c r="C64" s="4"/>
      <x:c r="D64" s="4"/>
      <x:c r="E64" s="4"/>
      <x:c r="F64" s="4"/>
      <x:c r="G64" s="4"/>
      <x:c r="H64" s="4"/>
      <x:c r="I64" s="4"/>
      <x:c r="J64" s="4"/>
      <x:c r="K64" s="4"/>
      <x:c r="L64" s="4"/>
    </x:row>
    <x:row r="65" ht="19" customHeight="1">
      <x:c r="A65" s="1"/>
      <x:c r="B65" s="1"/>
      <x:c r="C65" s="4"/>
      <x:c r="D65" s="4"/>
      <x:c r="E65" s="4"/>
      <x:c r="F65" s="4"/>
      <x:c r="G65" s="4"/>
      <x:c r="H65" s="4"/>
      <x:c r="I65" s="4"/>
      <x:c r="J65" s="4"/>
      <x:c r="K65" s="4"/>
      <x:c r="L65" s="4"/>
    </x:row>
    <x:row r="66" ht="19" customHeight="1">
      <x:c r="A66" s="1"/>
      <x:c r="B66" s="1"/>
      <x:c r="C66" s="4"/>
      <x:c r="D66" s="4"/>
      <x:c r="E66" s="4"/>
      <x:c r="F66" s="4"/>
      <x:c r="G66" s="4"/>
      <x:c r="H66" s="4"/>
      <x:c r="I66" s="4"/>
      <x:c r="J66" s="4"/>
      <x:c r="K66" s="4"/>
      <x:c r="L66" s="4"/>
    </x:row>
    <x:row r="67" ht="19" customHeight="1">
      <x:c r="A67" s="1"/>
      <x:c r="B67" s="1"/>
      <x:c r="C67" s="4"/>
      <x:c r="D67" s="4"/>
      <x:c r="E67" s="4"/>
      <x:c r="F67" s="4"/>
      <x:c r="G67" s="4"/>
      <x:c r="H67" s="4"/>
      <x:c r="I67" s="4"/>
      <x:c r="J67" s="4"/>
      <x:c r="K67" s="4"/>
      <x:c r="L67" s="4"/>
    </x:row>
    <x:row r="68" ht="19" customHeight="1">
      <x:c r="A68" s="1"/>
      <x:c r="B68" s="1"/>
      <x:c r="C68" s="4"/>
      <x:c r="D68" s="4"/>
      <x:c r="E68" s="4"/>
      <x:c r="F68" s="4"/>
      <x:c r="G68" s="4"/>
      <x:c r="H68" s="4"/>
      <x:c r="I68" s="4"/>
      <x:c r="J68" s="4"/>
      <x:c r="K68" s="4"/>
      <x:c r="L68" s="4"/>
    </x:row>
    <x:row r="69" ht="19" customHeight="1">
      <x:c r="A69" s="1"/>
      <x:c r="B69" s="1"/>
      <x:c r="C69" s="4"/>
      <x:c r="D69" s="4"/>
      <x:c r="E69" s="4"/>
      <x:c r="F69" s="4"/>
      <x:c r="G69" s="4"/>
      <x:c r="H69" s="4"/>
      <x:c r="I69" s="4"/>
      <x:c r="J69" s="4"/>
      <x:c r="K69" s="4"/>
      <x:c r="L69" s="4"/>
    </x:row>
    <x:row r="70" ht="19" customHeight="1">
      <x:c r="A70" s="1"/>
      <x:c r="B70" s="1"/>
      <x:c r="C70" s="4"/>
      <x:c r="D70" s="4"/>
      <x:c r="E70" s="4"/>
      <x:c r="F70" s="4"/>
      <x:c r="G70" s="4"/>
      <x:c r="H70" s="4"/>
      <x:c r="I70" s="4"/>
      <x:c r="J70" s="4"/>
      <x:c r="K70" s="4"/>
      <x:c r="L70" s="4"/>
    </x:row>
    <x:row r="71" ht="19" customHeight="1">
      <x:c r="A71" s="1"/>
      <x:c r="B71" s="1"/>
      <x:c r="C71" s="4"/>
      <x:c r="D71" s="4"/>
      <x:c r="E71" s="4"/>
      <x:c r="F71" s="4"/>
      <x:c r="G71" s="4"/>
      <x:c r="H71" s="4"/>
      <x:c r="I71" s="4"/>
      <x:c r="J71" s="4"/>
      <x:c r="K71" s="4"/>
      <x:c r="L71" s="4"/>
    </x:row>
    <x:row r="72" ht="19" customHeight="1">
      <x:c r="A72" s="1"/>
      <x:c r="B72" s="1"/>
      <x:c r="C72" s="4"/>
      <x:c r="D72" s="4"/>
      <x:c r="E72" s="4"/>
      <x:c r="F72" s="4"/>
      <x:c r="G72" s="4"/>
      <x:c r="H72" s="4"/>
      <x:c r="I72" s="4"/>
      <x:c r="J72" s="4"/>
      <x:c r="K72" s="4"/>
      <x:c r="L72" s="4"/>
    </x:row>
    <x:row r="73" ht="19" customHeight="1">
      <x:c r="A73" s="1"/>
      <x:c r="B73" s="1"/>
      <x:c r="C73" s="4"/>
      <x:c r="D73" s="4"/>
      <x:c r="E73" s="4"/>
      <x:c r="F73" s="4"/>
      <x:c r="G73" s="4"/>
      <x:c r="H73" s="4"/>
      <x:c r="I73" s="4"/>
      <x:c r="J73" s="4"/>
      <x:c r="K73" s="4"/>
      <x:c r="L73" s="4"/>
    </x:row>
    <x:row r="74" ht="19" customHeight="1">
      <x:c r="A74" s="1"/>
      <x:c r="B74" s="1"/>
      <x:c r="C74" s="4"/>
      <x:c r="D74" s="4"/>
      <x:c r="E74" s="4"/>
      <x:c r="F74" s="4"/>
      <x:c r="G74" s="4"/>
      <x:c r="H74" s="4"/>
      <x:c r="I74" s="4"/>
      <x:c r="J74" s="4"/>
      <x:c r="K74" s="4"/>
      <x:c r="L74" s="4"/>
    </x:row>
    <x:row r="75" ht="19" customHeight="1">
      <x:c r="A75" s="1"/>
      <x:c r="B75" s="1"/>
      <x:c r="C75" s="4"/>
      <x:c r="D75" s="4"/>
      <x:c r="E75" s="4"/>
      <x:c r="F75" s="4"/>
      <x:c r="G75" s="4"/>
      <x:c r="H75" s="4"/>
      <x:c r="I75" s="4"/>
      <x:c r="J75" s="4"/>
      <x:c r="K75" s="4"/>
      <x:c r="L75" s="4"/>
    </x:row>
    <x:row r="76" ht="19" customHeight="1">
      <x:c r="A76" s="1"/>
      <x:c r="B76" s="1"/>
      <x:c r="C76" s="4"/>
      <x:c r="D76" s="4"/>
      <x:c r="E76" s="4"/>
      <x:c r="F76" s="4"/>
      <x:c r="G76" s="4"/>
      <x:c r="H76" s="4"/>
      <x:c r="I76" s="4"/>
      <x:c r="J76" s="4"/>
      <x:c r="K76" s="4"/>
      <x:c r="L76" s="4"/>
    </x:row>
    <x:row r="77" ht="19" customHeight="1">
      <x:c r="A77" s="1"/>
      <x:c r="B77" s="1"/>
      <x:c r="C77" s="4"/>
      <x:c r="D77" s="4"/>
      <x:c r="E77" s="4"/>
      <x:c r="F77" s="4"/>
      <x:c r="G77" s="4"/>
      <x:c r="H77" s="4"/>
      <x:c r="I77" s="4"/>
      <x:c r="J77" s="4"/>
      <x:c r="K77" s="4"/>
      <x:c r="L77" s="4"/>
    </x:row>
    <x:row r="78" ht="19" customHeight="1">
      <x:c r="A78" s="1"/>
      <x:c r="B78" s="1"/>
      <x:c r="C78" s="4"/>
      <x:c r="D78" s="4"/>
      <x:c r="E78" s="4"/>
      <x:c r="F78" s="4"/>
      <x:c r="G78" s="4"/>
      <x:c r="H78" s="4"/>
      <x:c r="I78" s="4"/>
      <x:c r="J78" s="4"/>
      <x:c r="K78" s="4"/>
      <x:c r="L78" s="4"/>
    </x:row>
    <x:row r="79" ht="19" customHeight="1">
      <x:c r="A79" s="1"/>
      <x:c r="B79" s="1"/>
      <x:c r="C79" s="4"/>
      <x:c r="D79" s="4"/>
      <x:c r="E79" s="4"/>
      <x:c r="F79" s="4"/>
      <x:c r="G79" s="4"/>
      <x:c r="H79" s="4"/>
      <x:c r="I79" s="4"/>
      <x:c r="J79" s="4"/>
      <x:c r="K79" s="4"/>
      <x:c r="L79" s="4"/>
    </x:row>
    <x:row r="80" ht="19" customHeight="1">
      <x:c r="A80" s="1"/>
      <x:c r="B80" s="1"/>
      <x:c r="C80" s="4"/>
      <x:c r="D80" s="4"/>
      <x:c r="E80" s="4"/>
      <x:c r="F80" s="4"/>
      <x:c r="G80" s="4"/>
      <x:c r="H80" s="4"/>
      <x:c r="I80" s="4"/>
      <x:c r="J80" s="4"/>
      <x:c r="K80" s="4"/>
      <x:c r="L80" s="4"/>
    </x:row>
    <x:row r="81" ht="19" customHeight="1">
      <x:c r="A81" s="1"/>
      <x:c r="B81" s="1"/>
      <x:c r="C81" s="4"/>
      <x:c r="D81" s="4"/>
      <x:c r="E81" s="4"/>
      <x:c r="F81" s="4"/>
      <x:c r="G81" s="4"/>
      <x:c r="H81" s="4"/>
      <x:c r="I81" s="4"/>
      <x:c r="J81" s="4"/>
      <x:c r="K81" s="4"/>
      <x:c r="L81" s="4"/>
    </x:row>
    <x:row r="82" ht="19" customHeight="1">
      <x:c r="A82" s="1"/>
      <x:c r="B82" s="1"/>
      <x:c r="C82" s="4"/>
      <x:c r="D82" s="4"/>
      <x:c r="E82" s="4"/>
      <x:c r="F82" s="4"/>
      <x:c r="G82" s="4"/>
      <x:c r="H82" s="4"/>
      <x:c r="I82" s="4"/>
      <x:c r="J82" s="4"/>
      <x:c r="K82" s="4"/>
      <x:c r="L82" s="4"/>
    </x:row>
    <x:row r="83" ht="19" customHeight="1">
      <x:c r="A83" s="1"/>
      <x:c r="B83" s="1"/>
      <x:c r="C83" s="4"/>
      <x:c r="D83" s="4"/>
      <x:c r="E83" s="4"/>
      <x:c r="F83" s="4"/>
      <x:c r="G83" s="4"/>
      <x:c r="H83" s="4"/>
      <x:c r="I83" s="4"/>
      <x:c r="J83" s="4"/>
      <x:c r="K83" s="4"/>
      <x:c r="L83" s="4"/>
    </x:row>
    <x:row r="84" ht="19" customHeight="1">
      <x:c r="A84" s="1"/>
      <x:c r="B84" s="1"/>
      <x:c r="C84" s="4"/>
      <x:c r="D84" s="4"/>
      <x:c r="E84" s="4"/>
      <x:c r="F84" s="4"/>
      <x:c r="G84" s="4"/>
      <x:c r="H84" s="4"/>
      <x:c r="I84" s="4"/>
      <x:c r="J84" s="4"/>
      <x:c r="K84" s="4"/>
      <x:c r="L84" s="4"/>
    </x:row>
    <x:row r="85" ht="19" customHeight="1">
      <x:c r="A85" s="1"/>
      <x:c r="B85" s="1"/>
      <x:c r="C85" s="4"/>
      <x:c r="D85" s="4"/>
      <x:c r="E85" s="4"/>
      <x:c r="F85" s="4"/>
      <x:c r="G85" s="4"/>
      <x:c r="H85" s="4"/>
      <x:c r="I85" s="4"/>
      <x:c r="J85" s="4"/>
      <x:c r="K85" s="4"/>
      <x:c r="L85" s="4"/>
    </x:row>
    <x:row r="86" ht="19" customHeight="1">
      <x:c r="A86" s="1"/>
      <x:c r="B86" s="1"/>
      <x:c r="C86" s="4"/>
      <x:c r="D86" s="4"/>
      <x:c r="E86" s="4"/>
      <x:c r="F86" s="4"/>
      <x:c r="G86" s="4"/>
      <x:c r="H86" s="4"/>
      <x:c r="I86" s="4"/>
      <x:c r="J86" s="4"/>
      <x:c r="K86" s="4"/>
      <x:c r="L86" s="4"/>
    </x:row>
    <x:row r="87" ht="19" customHeight="1">
      <x:c r="A87" s="1"/>
      <x:c r="B87" s="1"/>
      <x:c r="C87" s="4"/>
      <x:c r="D87" s="4"/>
      <x:c r="E87" s="4"/>
      <x:c r="F87" s="4"/>
      <x:c r="G87" s="4"/>
      <x:c r="H87" s="4"/>
      <x:c r="I87" s="4"/>
      <x:c r="J87" s="4"/>
      <x:c r="K87" s="4"/>
      <x:c r="L87" s="4"/>
    </x:row>
    <x:row r="88" ht="19" customHeight="1">
      <x:c r="A88" s="1"/>
      <x:c r="B88" s="1"/>
      <x:c r="C88" s="4"/>
      <x:c r="D88" s="4"/>
      <x:c r="E88" s="4"/>
      <x:c r="F88" s="4"/>
      <x:c r="G88" s="4"/>
      <x:c r="H88" s="4"/>
      <x:c r="I88" s="4"/>
      <x:c r="J88" s="4"/>
      <x:c r="K88" s="4"/>
      <x:c r="L88" s="4"/>
    </x:row>
    <x:row r="89" ht="19" customHeight="1">
      <x:c r="A89" s="1"/>
      <x:c r="B89" s="1"/>
      <x:c r="C89" s="4"/>
      <x:c r="D89" s="4"/>
      <x:c r="E89" s="4"/>
      <x:c r="F89" s="4"/>
      <x:c r="G89" s="4"/>
      <x:c r="H89" s="4"/>
      <x:c r="I89" s="4"/>
      <x:c r="J89" s="4"/>
      <x:c r="K89" s="4"/>
      <x:c r="L89" s="4"/>
    </x:row>
    <x:row r="90" ht="19" customHeight="1">
      <x:c r="A90" s="1"/>
      <x:c r="B90" s="1"/>
      <x:c r="C90" s="4"/>
      <x:c r="D90" s="4"/>
      <x:c r="E90" s="4"/>
      <x:c r="F90" s="4"/>
      <x:c r="G90" s="4"/>
      <x:c r="H90" s="4"/>
      <x:c r="I90" s="4"/>
      <x:c r="J90" s="4"/>
      <x:c r="K90" s="4"/>
      <x:c r="L90" s="4"/>
    </x:row>
    <x:row r="91" ht="19" customHeight="1">
      <x:c r="A91" s="1"/>
      <x:c r="B91" s="1"/>
      <x:c r="C91" s="4"/>
      <x:c r="D91" s="4"/>
      <x:c r="E91" s="4"/>
      <x:c r="F91" s="4"/>
      <x:c r="G91" s="4"/>
      <x:c r="H91" s="4"/>
      <x:c r="I91" s="4"/>
      <x:c r="J91" s="4"/>
      <x:c r="K91" s="4"/>
      <x:c r="L91" s="4"/>
    </x:row>
    <x:row r="92" ht="19" customHeight="1">
      <x:c r="A92" s="1"/>
      <x:c r="B92" s="1"/>
      <x:c r="C92" s="4"/>
      <x:c r="D92" s="4"/>
      <x:c r="E92" s="4"/>
      <x:c r="F92" s="4"/>
      <x:c r="G92" s="4"/>
      <x:c r="H92" s="4"/>
      <x:c r="I92" s="4"/>
      <x:c r="J92" s="4"/>
      <x:c r="K92" s="4"/>
      <x:c r="L92" s="4"/>
    </x:row>
    <x:row r="93" ht="19" customHeight="1">
      <x:c r="A93" s="1"/>
      <x:c r="B93" s="1"/>
      <x:c r="C93" s="4"/>
      <x:c r="D93" s="4"/>
      <x:c r="E93" s="4"/>
      <x:c r="F93" s="4"/>
      <x:c r="G93" s="4"/>
      <x:c r="H93" s="4"/>
      <x:c r="I93" s="4"/>
      <x:c r="J93" s="4"/>
      <x:c r="K93" s="4"/>
      <x:c r="L93" s="4"/>
    </x:row>
    <x:row r="94" ht="19" customHeight="1">
      <x:c r="A94" s="1"/>
      <x:c r="B94" s="1"/>
      <x:c r="C94" s="4"/>
      <x:c r="D94" s="4"/>
      <x:c r="E94" s="4"/>
      <x:c r="F94" s="4"/>
      <x:c r="G94" s="4"/>
      <x:c r="H94" s="4"/>
      <x:c r="I94" s="4"/>
      <x:c r="J94" s="4"/>
      <x:c r="K94" s="4"/>
      <x:c r="L94" s="4"/>
    </x:row>
    <x:row r="95" ht="19" customHeight="1">
      <x:c r="A95" s="1"/>
      <x:c r="B95" s="1"/>
      <x:c r="C95" s="4"/>
      <x:c r="D95" s="4"/>
      <x:c r="E95" s="4"/>
      <x:c r="F95" s="4"/>
      <x:c r="G95" s="4"/>
      <x:c r="H95" s="4"/>
      <x:c r="I95" s="4"/>
      <x:c r="J95" s="4"/>
      <x:c r="K95" s="4"/>
      <x:c r="L95" s="4"/>
    </x:row>
    <x:row r="96" ht="19" customHeight="1">
      <x:c r="A96" s="1"/>
      <x:c r="B96" s="1"/>
      <x:c r="C96" s="4"/>
      <x:c r="D96" s="4"/>
      <x:c r="E96" s="4"/>
      <x:c r="F96" s="4"/>
      <x:c r="G96" s="4"/>
      <x:c r="H96" s="4"/>
      <x:c r="I96" s="4"/>
      <x:c r="J96" s="4"/>
      <x:c r="K96" s="4"/>
      <x:c r="L96" s="4"/>
    </x:row>
    <x:row r="97" ht="19" customHeight="1">
      <x:c r="A97" s="1"/>
      <x:c r="B97" s="1"/>
      <x:c r="C97" s="4"/>
      <x:c r="D97" s="4"/>
      <x:c r="E97" s="4"/>
      <x:c r="F97" s="4"/>
      <x:c r="G97" s="4"/>
      <x:c r="H97" s="4"/>
      <x:c r="I97" s="4"/>
      <x:c r="J97" s="4"/>
      <x:c r="K97" s="4"/>
      <x:c r="L97" s="4"/>
    </x:row>
    <x:row r="98" ht="19" customHeight="1">
      <x:c r="A98" s="1"/>
      <x:c r="B98" s="1"/>
      <x:c r="C98" s="4"/>
      <x:c r="D98" s="4"/>
      <x:c r="E98" s="4"/>
      <x:c r="F98" s="4"/>
      <x:c r="G98" s="4"/>
      <x:c r="H98" s="4"/>
      <x:c r="I98" s="4"/>
      <x:c r="J98" s="4"/>
      <x:c r="K98" s="4"/>
      <x:c r="L98" s="4"/>
    </x:row>
    <x:row r="99" ht="19" customHeight="1">
      <x:c r="A99" s="1"/>
      <x:c r="B99" s="1"/>
      <x:c r="C99" s="4"/>
      <x:c r="D99" s="4"/>
      <x:c r="E99" s="4"/>
      <x:c r="F99" s="4"/>
      <x:c r="G99" s="4"/>
      <x:c r="H99" s="4"/>
      <x:c r="I99" s="4"/>
      <x:c r="J99" s="4"/>
      <x:c r="K99" s="4"/>
      <x:c r="L99" s="4"/>
    </x:row>
    <x:row r="100" ht="19" customHeight="1">
      <x:c r="A100" s="1"/>
      <x:c r="B100" s="1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</x:row>
    <x:row r="101" ht="19" customHeight="1">
      <x:c r="A101" s="1"/>
      <x:c r="B101" s="1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</x:row>
    <x:row r="102" ht="19" customHeight="1">
      <x:c r="A102" s="1"/>
      <x:c r="B102" s="1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</x:row>
    <x:row r="103" ht="19" customHeight="1">
      <x:c r="A103" s="1"/>
      <x:c r="B103" s="1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</x:row>
    <x:row r="104" ht="19" customHeight="1">
      <x:c r="A104" s="1"/>
      <x:c r="B104" s="1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</x:row>
    <x:row r="105" ht="19" customHeight="1">
      <x:c r="A105" s="1"/>
      <x:c r="B105" s="1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</x:row>
    <x:row r="106" ht="19" customHeight="1">
      <x:c r="A106" s="1"/>
      <x:c r="B106" s="1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</x:row>
    <x:row r="107" ht="19" customHeight="1">
      <x:c r="A107" s="1"/>
      <x:c r="B107" s="1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</x:row>
    <x:row r="108" ht="19" customHeight="1">
      <x:c r="A108" s="1"/>
      <x:c r="B108" s="1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</x:row>
    <x:row r="109" ht="19" customHeight="1">
      <x:c r="A109" s="1"/>
      <x:c r="B109" s="1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</x:row>
    <x:row r="110" ht="19" customHeight="1">
      <x:c r="A110" s="1"/>
      <x:c r="B110" s="1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</x:row>
    <x:row r="111" ht="19" customHeight="1">
      <x:c r="A111" s="1"/>
      <x:c r="B111" s="1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</x:row>
    <x:row r="112" ht="19" customHeight="1">
      <x:c r="A112" s="1"/>
      <x:c r="B112" s="1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</x:row>
    <x:row r="113" ht="19" customHeight="1">
      <x:c r="A113" s="1"/>
      <x:c r="B113" s="1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</x:row>
    <x:row r="114" ht="19" customHeight="1">
      <x:c r="A114" s="1"/>
      <x:c r="B114" s="1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</x:row>
    <x:row r="115" ht="19" customHeight="1">
      <x:c r="A115" s="1"/>
      <x:c r="B115" s="1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</x:row>
    <x:row r="116" ht="19" customHeight="1">
      <x:c r="A116" s="1"/>
      <x:c r="B116" s="1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</x:row>
    <x:row r="117" ht="19" customHeight="1">
      <x:c r="A117" s="1"/>
      <x:c r="B117" s="1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</x:row>
    <x:row r="118" ht="19" customHeight="1">
      <x:c r="A118" s="1"/>
      <x:c r="B118" s="1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</x:row>
    <x:row r="119" ht="19" customHeight="1">
      <x:c r="A119" s="1"/>
      <x:c r="B119" s="1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</x:row>
    <x:row r="120" ht="19" customHeight="1">
      <x:c r="A120" s="1"/>
      <x:c r="B120" s="1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</x:row>
    <x:row r="121" ht="19" customHeight="1">
      <x:c r="A121" s="1"/>
      <x:c r="B121" s="1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</x:row>
    <x:row r="122" ht="19" customHeight="1">
      <x:c r="A122" s="1"/>
      <x:c r="B122" s="1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</x:row>
    <x:row r="123" ht="19" customHeight="1">
      <x:c r="A123" s="1"/>
      <x:c r="B123" s="1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</x:row>
    <x:row r="124" ht="19" customHeight="1">
      <x:c r="A124" s="1"/>
      <x:c r="B124" s="1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</x:row>
    <x:row r="125" ht="19" customHeight="1">
      <x:c r="A125" s="1"/>
      <x:c r="B125" s="1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</x:row>
  </x:sheetData>
  <x:mergeCells>
    <x:mergeCell ref="A23:G23"/>
    <x:mergeCell ref="A25:G2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F343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6" hidden="0" customWidth="1"/>
    <x:col min="2" max="2" width="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8" customHeight="1">
      <x:c r="A1" s="88" t="str">
        <x:v>Industry and Business Context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</x:row>
    <x:row r="2" ht="19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9" customHeight="1">
      <x:c r="A3" s="1" t="str">
        <x:v>Pricol Limited | Consolidated | INR crore, except per-share data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19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19" customHeight="1">
      <x:c r="A5" s="91" t="str">
        <x:v>Context</x:v>
      </x:c>
      <x:c r="B5" s="91"/>
      <x:c r="C5" s="91" t="str">
        <x:v>Evidence and model relevance</x:v>
      </x:c>
      <x:c r="D5" s="91"/>
      <x:c r="E5" s="91"/>
      <x:c r="F5" s="91"/>
      <x:c r="G5" s="91"/>
      <x:c r="H5" s="91"/>
      <x:c r="I5" s="91"/>
      <x:c r="J5" s="91"/>
      <x:c r="K5" s="91"/>
      <x:c r="L5" s="91"/>
    </x:row>
    <x:row r="6" ht="19" customHeight="1">
      <x:c r="A6" s="1"/>
      <x:c r="B6" s="1"/>
      <x:c r="C6" s="4"/>
      <x:c r="D6" s="4"/>
      <x:c r="E6" s="4"/>
      <x:c r="F6" s="4"/>
      <x:c r="G6" s="4"/>
      <x:c r="H6" s="4"/>
      <x:c r="I6" s="4"/>
      <x:c r="J6" s="4"/>
      <x:c r="K6" s="4"/>
      <x:c r="L6" s="4"/>
    </x:row>
    <x:row r="7" ht="19" customHeight="1">
      <x:c r="A7" s="1" t="str">
        <x:v>FY2026 two-wheeler domestic growth</x:v>
      </x:c>
      <x:c r="B7" s="1"/>
      <x:c r="C7" s="70" t="str">
        <x:v>10.7% reported by SIAM; supports a low-double-digit initial core-business growth assumption.</x:v>
      </x:c>
      <x:c r="D7" s="70"/>
      <x:c r="E7" s="70"/>
      <x:c r="F7" s="70"/>
      <x:c r="G7" s="70"/>
      <x:c r="H7" s="70"/>
      <x:c r="I7" s="70"/>
      <x:c r="J7" s="70"/>
      <x:c r="K7" s="70"/>
      <x:c r="L7" s="70"/>
    </x:row>
    <x:row r="8" ht="19" customHeight="1">
      <x:c r="A8" s="1"/>
      <x:c r="B8" s="1"/>
      <x:c r="C8" s="70"/>
      <x:c r="D8" s="70"/>
      <x:c r="E8" s="70"/>
      <x:c r="F8" s="70"/>
      <x:c r="G8" s="70"/>
      <x:c r="H8" s="70"/>
      <x:c r="I8" s="70"/>
      <x:c r="J8" s="70"/>
      <x:c r="K8" s="70"/>
      <x:c r="L8" s="70"/>
    </x:row>
    <x:row r="9" ht="19" customHeight="1">
      <x:c r="A9" s="1"/>
      <x:c r="B9" s="1"/>
      <x:c r="C9" s="4"/>
      <x:c r="D9" s="4"/>
      <x:c r="E9" s="4"/>
      <x:c r="F9" s="4"/>
      <x:c r="G9" s="4"/>
      <x:c r="H9" s="4"/>
      <x:c r="I9" s="4"/>
      <x:c r="J9" s="4"/>
      <x:c r="K9" s="4"/>
      <x:c r="L9" s="4"/>
    </x:row>
    <x:row r="10" ht="19" customHeight="1">
      <x:c r="A10" s="1" t="str">
        <x:v>FY2026 passenger-vehicle domestic growth</x:v>
      </x:c>
      <x:c r="B10" s="1"/>
      <x:c r="C10" s="70" t="str">
        <x:v>7.9% reported by SIAM; plastics growth also depends on capacity additions and customer wins.</x:v>
      </x:c>
      <x:c r="D10" s="70"/>
      <x:c r="E10" s="70"/>
      <x:c r="F10" s="70"/>
      <x:c r="G10" s="70"/>
      <x:c r="H10" s="70"/>
      <x:c r="I10" s="70"/>
      <x:c r="J10" s="70"/>
      <x:c r="K10" s="70"/>
      <x:c r="L10" s="70"/>
    </x:row>
    <x:row r="11" ht="19" customHeight="1">
      <x:c r="A11" s="1"/>
      <x:c r="B11" s="1"/>
      <x:c r="C11" s="70"/>
      <x:c r="D11" s="70"/>
      <x:c r="E11" s="70"/>
      <x:c r="F11" s="70"/>
      <x:c r="G11" s="70"/>
      <x:c r="H11" s="70"/>
      <x:c r="I11" s="70"/>
      <x:c r="J11" s="70"/>
      <x:c r="K11" s="70"/>
      <x:c r="L11" s="70"/>
    </x:row>
    <x:row r="12" ht="19" customHeight="1">
      <x:c r="A12" s="1"/>
      <x:c r="B12" s="1"/>
      <x:c r="C12" s="4"/>
      <x:c r="D12" s="4"/>
      <x:c r="E12" s="4"/>
      <x:c r="F12" s="4"/>
      <x:c r="G12" s="4"/>
      <x:c r="H12" s="4"/>
      <x:c r="I12" s="4"/>
      <x:c r="J12" s="4"/>
      <x:c r="K12" s="4"/>
      <x:c r="L12" s="4"/>
    </x:row>
    <x:row r="13" ht="19" customHeight="1">
      <x:c r="A13" s="1" t="str">
        <x:v>Pricol Q1 FY2027 sales growth</x:v>
      </x:c>
      <x:c r="B13" s="1"/>
      <x:c r="C13" s="70" t="str">
        <x:v>23.5% year-on-year in Screener quarterly data. Full-year growth is deliberately lower in the base case.</x:v>
      </x:c>
      <x:c r="D13" s="70"/>
      <x:c r="E13" s="70"/>
      <x:c r="F13" s="70"/>
      <x:c r="G13" s="70"/>
      <x:c r="H13" s="70"/>
      <x:c r="I13" s="70"/>
      <x:c r="J13" s="70"/>
      <x:c r="K13" s="70"/>
      <x:c r="L13" s="70"/>
    </x:row>
    <x:row r="14" ht="19" customHeight="1">
      <x:c r="A14" s="1"/>
      <x:c r="B14" s="1"/>
      <x:c r="C14" s="70"/>
      <x:c r="D14" s="70"/>
      <x:c r="E14" s="70"/>
      <x:c r="F14" s="70"/>
      <x:c r="G14" s="70"/>
      <x:c r="H14" s="70"/>
      <x:c r="I14" s="70"/>
      <x:c r="J14" s="70"/>
      <x:c r="K14" s="70"/>
      <x:c r="L14" s="70"/>
    </x:row>
    <x:row r="15" ht="19" customHeight="1">
      <x:c r="A15" s="1"/>
      <x:c r="B15" s="1"/>
      <x:c r="C15" s="4"/>
      <x:c r="D15" s="4"/>
      <x:c r="E15" s="4"/>
      <x:c r="F15" s="4"/>
      <x:c r="G15" s="4"/>
      <x:c r="H15" s="4"/>
      <x:c r="I15" s="4"/>
      <x:c r="J15" s="4"/>
      <x:c r="K15" s="4"/>
      <x:c r="L15" s="4"/>
    </x:row>
    <x:row r="16" ht="19" customHeight="1">
      <x:c r="A16" s="1" t="str">
        <x:v>Plastics revenue base</x:v>
      </x:c>
      <x:c r="B16" s="1"/>
      <x:c r="C16" s="70" t="str">
        <x:v>Management reported INR 924 crore for FY2026; INR 65 crore foaming business has exited.</x:v>
      </x:c>
      <x:c r="D16" s="70"/>
      <x:c r="E16" s="70"/>
      <x:c r="F16" s="70"/>
      <x:c r="G16" s="70"/>
      <x:c r="H16" s="70"/>
      <x:c r="I16" s="70"/>
      <x:c r="J16" s="70"/>
      <x:c r="K16" s="70"/>
      <x:c r="L16" s="70"/>
    </x:row>
    <x:row r="17" ht="19" customHeight="1">
      <x:c r="A17" s="1"/>
      <x:c r="B17" s="1"/>
      <x:c r="C17" s="70"/>
      <x:c r="D17" s="70"/>
      <x:c r="E17" s="70"/>
      <x:c r="F17" s="70"/>
      <x:c r="G17" s="70"/>
      <x:c r="H17" s="70"/>
      <x:c r="I17" s="70"/>
      <x:c r="J17" s="70"/>
      <x:c r="K17" s="70"/>
      <x:c r="L17" s="70"/>
    </x:row>
    <x:row r="18" ht="19" customHeight="1">
      <x:c r="A18" s="1"/>
      <x:c r="B18" s="1"/>
      <x:c r="C18" s="4"/>
      <x:c r="D18" s="4"/>
      <x:c r="E18" s="4"/>
      <x:c r="F18" s="4"/>
      <x:c r="G18" s="4"/>
      <x:c r="H18" s="4"/>
      <x:c r="I18" s="4"/>
      <x:c r="J18" s="4"/>
      <x:c r="K18" s="4"/>
      <x:c r="L18" s="4"/>
    </x:row>
    <x:row r="19" ht="19" customHeight="1">
      <x:c r="A19" s="1" t="str">
        <x:v>Capacity and capital expenditure</x:v>
      </x:c>
      <x:c r="B19" s="1"/>
      <x:c r="C19" s="70" t="str">
        <x:v>August 2026 management commentary: INR 700 crore over 18–24 months, including INR 400 crore polymers.</x:v>
      </x:c>
      <x:c r="D19" s="70"/>
      <x:c r="E19" s="70"/>
      <x:c r="F19" s="70"/>
      <x:c r="G19" s="70"/>
      <x:c r="H19" s="70"/>
      <x:c r="I19" s="70"/>
      <x:c r="J19" s="70"/>
      <x:c r="K19" s="70"/>
      <x:c r="L19" s="70"/>
    </x:row>
    <x:row r="20" ht="19" customHeight="1">
      <x:c r="A20" s="1"/>
      <x:c r="B20" s="1"/>
      <x:c r="C20" s="70"/>
      <x:c r="D20" s="70"/>
      <x:c r="E20" s="70"/>
      <x:c r="F20" s="70"/>
      <x:c r="G20" s="70"/>
      <x:c r="H20" s="70"/>
      <x:c r="I20" s="70"/>
      <x:c r="J20" s="70"/>
      <x:c r="K20" s="70"/>
      <x:c r="L20" s="70"/>
    </x:row>
    <x:row r="21" ht="19" customHeight="1">
      <x:c r="A21" s="1"/>
      <x:c r="B21" s="1"/>
      <x:c r="C21" s="4"/>
      <x:c r="D21" s="4"/>
      <x:c r="E21" s="4"/>
      <x:c r="F21" s="4"/>
      <x:c r="G21" s="4"/>
      <x:c r="H21" s="4"/>
      <x:c r="I21" s="4"/>
      <x:c r="J21" s="4"/>
      <x:c r="K21" s="4"/>
      <x:c r="L21" s="4"/>
    </x:row>
    <x:row r="22" ht="19" customHeight="1">
      <x:c r="A22" s="1" t="str">
        <x:v>Margin discipline</x:v>
      </x:c>
      <x:c r="B22" s="1"/>
      <x:c r="C22" s="70" t="str">
        <x:v>Management targets 12.5–13% on its EBITDA definition. The model uses 11.3–11.8% operating EBITDA.</x:v>
      </x:c>
      <x:c r="D22" s="70"/>
      <x:c r="E22" s="70"/>
      <x:c r="F22" s="70"/>
      <x:c r="G22" s="70"/>
      <x:c r="H22" s="70"/>
      <x:c r="I22" s="70"/>
      <x:c r="J22" s="70"/>
      <x:c r="K22" s="70"/>
      <x:c r="L22" s="70"/>
    </x:row>
    <x:row r="23" ht="19" customHeight="1">
      <x:c r="A23" s="1"/>
      <x:c r="B23" s="1"/>
      <x:c r="C23" s="70"/>
      <x:c r="D23" s="70"/>
      <x:c r="E23" s="70"/>
      <x:c r="F23" s="70"/>
      <x:c r="G23" s="70"/>
      <x:c r="H23" s="70"/>
      <x:c r="I23" s="70"/>
      <x:c r="J23" s="70"/>
      <x:c r="K23" s="70"/>
      <x:c r="L23" s="70"/>
    </x:row>
    <x:row r="24" ht="19" customHeight="1">
      <x:c r="A24" s="1"/>
      <x:c r="B24" s="1"/>
      <x:c r="C24" s="4"/>
      <x:c r="D24" s="4"/>
      <x:c r="E24" s="4"/>
      <x:c r="F24" s="4"/>
      <x:c r="G24" s="4"/>
      <x:c r="H24" s="4"/>
      <x:c r="I24" s="4"/>
      <x:c r="J24" s="4"/>
      <x:c r="K24" s="4"/>
      <x:c r="L24" s="4"/>
    </x:row>
    <x:row r="25" ht="19" customHeight="1">
      <x:c r="A25" s="1" t="str">
        <x:v>Demergers and new acquisitions</x:v>
      </x:c>
      <x:c r="B25" s="1"/>
      <x:c r="C25" s="70" t="str">
        <x:v>No valuation uplift, transaction proceeds or new acquisitions assumed. Model retains consolidated economic scope.</x:v>
      </x:c>
      <x:c r="D25" s="70"/>
      <x:c r="E25" s="70"/>
      <x:c r="F25" s="70"/>
      <x:c r="G25" s="70"/>
      <x:c r="H25" s="70"/>
      <x:c r="I25" s="70"/>
      <x:c r="J25" s="70"/>
      <x:c r="K25" s="70"/>
      <x:c r="L25" s="70"/>
    </x:row>
    <x:row r="26" ht="19" customHeight="1">
      <x:c r="A26" s="1"/>
      <x:c r="B26" s="1"/>
      <x:c r="C26" s="70"/>
      <x:c r="D26" s="70"/>
      <x:c r="E26" s="70"/>
      <x:c r="F26" s="70"/>
      <x:c r="G26" s="70"/>
      <x:c r="H26" s="70"/>
      <x:c r="I26" s="70"/>
      <x:c r="J26" s="70"/>
      <x:c r="K26" s="70"/>
      <x:c r="L26" s="70"/>
    </x:row>
    <x:row r="27" ht="19" customHeight="1">
      <x:c r="A27" s="1"/>
      <x:c r="B27" s="1"/>
      <x:c r="C27" s="4"/>
      <x:c r="D27" s="4"/>
      <x:c r="E27" s="4"/>
      <x:c r="F27" s="4"/>
      <x:c r="G27" s="4"/>
      <x:c r="H27" s="4"/>
      <x:c r="I27" s="4"/>
      <x:c r="J27" s="4"/>
      <x:c r="K27" s="4"/>
      <x:c r="L27" s="4"/>
    </x:row>
    <x:row r="28" ht="19" customHeight="1">
      <x:c r="A28" s="1"/>
      <x:c r="B28" s="1"/>
      <x:c r="C28" s="4"/>
      <x:c r="D28" s="4"/>
      <x:c r="E28" s="4"/>
      <x:c r="F28" s="4"/>
      <x:c r="G28" s="4"/>
      <x:c r="H28" s="4"/>
      <x:c r="I28" s="4"/>
      <x:c r="J28" s="4"/>
      <x:c r="K28" s="4"/>
      <x:c r="L28" s="4"/>
    </x:row>
    <x:row r="29" ht="19" customHeight="1">
      <x:c r="A29" s="1"/>
      <x:c r="B29" s="1"/>
      <x:c r="C29" s="4"/>
      <x:c r="D29" s="4"/>
      <x:c r="E29" s="4"/>
      <x:c r="F29" s="4"/>
      <x:c r="G29" s="4"/>
      <x:c r="H29" s="4"/>
      <x:c r="I29" s="4"/>
      <x:c r="J29" s="4"/>
      <x:c r="K29" s="4"/>
      <x:c r="L29" s="4"/>
    </x:row>
    <x:row r="30" ht="32" customHeight="1">
      <x:c r="A30" s="62" t="str">
        <x:v>Industry indicators are context for growth and margin assumptions. They do not mechanically forecast Pricol revenue or imply a constant market share.</x:v>
      </x:c>
      <x:c r="B30" s="62"/>
      <x:c r="C30" s="63"/>
      <x:c r="D30" s="63"/>
      <x:c r="E30" s="63"/>
      <x:c r="F30" s="63"/>
      <x:c r="G30" s="63"/>
      <x:c r="H30" s="63"/>
      <x:c r="I30" s="63"/>
      <x:c r="J30" s="63"/>
      <x:c r="K30" s="63"/>
      <x:c r="L30" s="63"/>
    </x:row>
    <x:row r="31" ht="19" customHeight="1">
      <x:c r="A31" s="1"/>
      <x:c r="B31" s="1"/>
      <x:c r="C31" s="4"/>
      <x:c r="D31" s="4"/>
      <x:c r="E31" s="4"/>
      <x:c r="F31" s="4"/>
      <x:c r="G31" s="4"/>
      <x:c r="H31" s="4"/>
      <x:c r="I31" s="4"/>
      <x:c r="J31" s="4"/>
      <x:c r="K31" s="4"/>
      <x:c r="L31" s="4"/>
    </x:row>
    <x:row r="32" ht="32" customHeight="1">
      <x:c r="A32" s="62" t="str">
        <x:v>Sources: SIAM FY2026 public press release; Pricol May and August 2026 transcripts; Pricol Ltd.xlsx. Management and model EBITDA definitions differ.</x:v>
      </x:c>
      <x:c r="B32" s="62"/>
      <x:c r="C32" s="63"/>
      <x:c r="D32" s="63"/>
      <x:c r="E32" s="63"/>
      <x:c r="F32" s="63"/>
      <x:c r="G32" s="63"/>
      <x:c r="H32" s="63"/>
      <x:c r="I32" s="63"/>
      <x:c r="J32" s="63"/>
      <x:c r="K32" s="63"/>
      <x:c r="L32" s="63"/>
    </x:row>
    <x:row r="33" ht="19" customHeight="1">
      <x:c r="A33" s="1"/>
      <x:c r="B33" s="1"/>
      <x:c r="C33" s="4"/>
      <x:c r="D33" s="4"/>
      <x:c r="E33" s="4"/>
      <x:c r="F33" s="4"/>
      <x:c r="G33" s="4"/>
      <x:c r="H33" s="4"/>
      <x:c r="I33" s="4"/>
      <x:c r="J33" s="4"/>
      <x:c r="K33" s="4"/>
      <x:c r="L33" s="4"/>
    </x:row>
    <x:row r="34" ht="19" customHeight="1">
      <x:c r="A34" s="1"/>
      <x:c r="B34" s="1"/>
      <x:c r="C34" s="4"/>
      <x:c r="D34" s="4"/>
      <x:c r="E34" s="4"/>
      <x:c r="F34" s="4"/>
      <x:c r="G34" s="4"/>
      <x:c r="H34" s="4"/>
      <x:c r="I34" s="4"/>
      <x:c r="J34" s="4"/>
      <x:c r="K34" s="4"/>
      <x:c r="L34" s="4"/>
    </x:row>
    <x:row r="35" ht="19" customHeight="1">
      <x:c r="A35" s="1"/>
      <x:c r="B35" s="1"/>
      <x:c r="C35" s="4"/>
      <x:c r="D35" s="4"/>
      <x:c r="E35" s="4"/>
      <x:c r="F35" s="4"/>
      <x:c r="G35" s="4"/>
      <x:c r="H35" s="4"/>
      <x:c r="I35" s="4"/>
      <x:c r="J35" s="4"/>
      <x:c r="K35" s="4"/>
      <x:c r="L35" s="4"/>
    </x:row>
    <x:row r="36" ht="19" customHeight="1">
      <x:c r="A36" s="1"/>
      <x:c r="B36" s="1"/>
      <x:c r="C36" s="4"/>
      <x:c r="D36" s="4"/>
      <x:c r="E36" s="4"/>
      <x:c r="F36" s="4"/>
      <x:c r="G36" s="4"/>
      <x:c r="H36" s="4"/>
      <x:c r="I36" s="4"/>
      <x:c r="J36" s="4"/>
      <x:c r="K36" s="4"/>
      <x:c r="L36" s="4"/>
    </x:row>
    <x:row r="37" ht="19" customHeight="1">
      <x:c r="A37" s="1"/>
      <x:c r="B37" s="1"/>
      <x:c r="C37" s="4"/>
      <x:c r="D37" s="4"/>
      <x:c r="E37" s="4"/>
      <x:c r="F37" s="4"/>
      <x:c r="G37" s="4"/>
      <x:c r="H37" s="4"/>
      <x:c r="I37" s="4"/>
      <x:c r="J37" s="4"/>
      <x:c r="K37" s="4"/>
      <x:c r="L37" s="4"/>
    </x:row>
    <x:row r="38" ht="19" customHeight="1">
      <x:c r="A38" s="1"/>
      <x:c r="B38" s="1"/>
      <x:c r="C38" s="4"/>
      <x:c r="D38" s="4"/>
      <x:c r="E38" s="4"/>
      <x:c r="F38" s="4"/>
      <x:c r="G38" s="4"/>
      <x:c r="H38" s="4"/>
      <x:c r="I38" s="4"/>
      <x:c r="J38" s="4"/>
      <x:c r="K38" s="4"/>
      <x:c r="L38" s="4"/>
    </x:row>
    <x:row r="39" ht="19" customHeight="1">
      <x:c r="A39" s="1"/>
      <x:c r="B39" s="1"/>
      <x:c r="C39" s="4"/>
      <x:c r="D39" s="4"/>
      <x:c r="E39" s="4"/>
      <x:c r="F39" s="4"/>
      <x:c r="G39" s="4"/>
      <x:c r="H39" s="4"/>
      <x:c r="I39" s="4"/>
      <x:c r="J39" s="4"/>
      <x:c r="K39" s="4"/>
      <x:c r="L39" s="4"/>
    </x:row>
    <x:row r="40" ht="19" customHeight="1">
      <x:c r="A40" s="1"/>
      <x:c r="B40" s="1"/>
      <x:c r="C40" s="4"/>
      <x:c r="D40" s="4"/>
      <x:c r="E40" s="4"/>
      <x:c r="F40" s="4"/>
      <x:c r="G40" s="4"/>
      <x:c r="H40" s="4"/>
      <x:c r="I40" s="4"/>
      <x:c r="J40" s="4"/>
      <x:c r="K40" s="4"/>
      <x:c r="L40" s="4"/>
    </x:row>
    <x:row r="41" ht="19" customHeight="1">
      <x:c r="A41" s="1"/>
      <x:c r="B41" s="1"/>
      <x:c r="C41" s="4"/>
      <x:c r="D41" s="4"/>
      <x:c r="E41" s="4"/>
      <x:c r="F41" s="4"/>
      <x:c r="G41" s="4"/>
      <x:c r="H41" s="4"/>
      <x:c r="I41" s="4"/>
      <x:c r="J41" s="4"/>
      <x:c r="K41" s="4"/>
      <x:c r="L41" s="4"/>
    </x:row>
    <x:row r="42" ht="19" customHeight="1">
      <x:c r="A42" s="1"/>
      <x:c r="B42" s="1"/>
      <x:c r="C42" s="4"/>
      <x:c r="D42" s="4"/>
      <x:c r="E42" s="4"/>
      <x:c r="F42" s="4"/>
      <x:c r="G42" s="4"/>
      <x:c r="H42" s="4"/>
      <x:c r="I42" s="4"/>
      <x:c r="J42" s="4"/>
      <x:c r="K42" s="4"/>
      <x:c r="L42" s="4"/>
    </x:row>
    <x:row r="43" ht="19" customHeight="1">
      <x:c r="A43" s="1"/>
      <x:c r="B43" s="1"/>
      <x:c r="C43" s="4"/>
      <x:c r="D43" s="4"/>
      <x:c r="E43" s="4"/>
      <x:c r="F43" s="4"/>
      <x:c r="G43" s="4"/>
      <x:c r="H43" s="4"/>
      <x:c r="I43" s="4"/>
      <x:c r="J43" s="4"/>
      <x:c r="K43" s="4"/>
      <x:c r="L43" s="4"/>
    </x:row>
    <x:row r="44" ht="19" customHeight="1">
      <x:c r="A44" s="1"/>
      <x:c r="B44" s="1"/>
      <x:c r="C44" s="4"/>
      <x:c r="D44" s="4"/>
      <x:c r="E44" s="4"/>
      <x:c r="F44" s="4"/>
      <x:c r="G44" s="4"/>
      <x:c r="H44" s="4"/>
      <x:c r="I44" s="4"/>
      <x:c r="J44" s="4"/>
      <x:c r="K44" s="4"/>
      <x:c r="L44" s="4"/>
    </x:row>
    <x:row r="45" ht="19" customHeight="1">
      <x:c r="A45" s="1"/>
      <x:c r="B45" s="1"/>
      <x:c r="C45" s="4"/>
      <x:c r="D45" s="4"/>
      <x:c r="E45" s="4"/>
      <x:c r="F45" s="4"/>
      <x:c r="G45" s="4"/>
      <x:c r="H45" s="4"/>
      <x:c r="I45" s="4"/>
      <x:c r="J45" s="4"/>
      <x:c r="K45" s="4"/>
      <x:c r="L45" s="4"/>
    </x:row>
    <x:row r="46" ht="19" customHeight="1">
      <x:c r="A46" s="1"/>
      <x:c r="B46" s="1"/>
      <x:c r="C46" s="4"/>
      <x:c r="D46" s="4"/>
      <x:c r="E46" s="4"/>
      <x:c r="F46" s="4"/>
      <x:c r="G46" s="4"/>
      <x:c r="H46" s="4"/>
      <x:c r="I46" s="4"/>
      <x:c r="J46" s="4"/>
      <x:c r="K46" s="4"/>
      <x:c r="L46" s="4"/>
    </x:row>
    <x:row r="47" ht="19" customHeight="1">
      <x:c r="A47" s="1"/>
      <x:c r="B47" s="1"/>
      <x:c r="C47" s="4"/>
      <x:c r="D47" s="4"/>
      <x:c r="E47" s="4"/>
      <x:c r="F47" s="4"/>
      <x:c r="G47" s="4"/>
      <x:c r="H47" s="4"/>
      <x:c r="I47" s="4"/>
      <x:c r="J47" s="4"/>
      <x:c r="K47" s="4"/>
      <x:c r="L47" s="4"/>
    </x:row>
    <x:row r="48" ht="19" customHeight="1">
      <x:c r="A48" s="1"/>
      <x:c r="B48" s="1"/>
      <x:c r="C48" s="4"/>
      <x:c r="D48" s="4"/>
      <x:c r="E48" s="4"/>
      <x:c r="F48" s="4"/>
      <x:c r="G48" s="4"/>
      <x:c r="H48" s="4"/>
      <x:c r="I48" s="4"/>
      <x:c r="J48" s="4"/>
      <x:c r="K48" s="4"/>
      <x:c r="L48" s="4"/>
    </x:row>
    <x:row r="49" ht="19" customHeight="1">
      <x:c r="A49" s="1"/>
      <x:c r="B49" s="1"/>
      <x:c r="C49" s="4"/>
      <x:c r="D49" s="4"/>
      <x:c r="E49" s="4"/>
      <x:c r="F49" s="4"/>
      <x:c r="G49" s="4"/>
      <x:c r="H49" s="4"/>
      <x:c r="I49" s="4"/>
      <x:c r="J49" s="4"/>
      <x:c r="K49" s="4"/>
      <x:c r="L49" s="4"/>
    </x:row>
    <x:row r="50" ht="19" customHeight="1">
      <x:c r="A50" s="1"/>
      <x:c r="B50" s="1"/>
      <x:c r="C50" s="4"/>
      <x:c r="D50" s="4"/>
      <x:c r="E50" s="4"/>
      <x:c r="F50" s="4"/>
      <x:c r="G50" s="4"/>
      <x:c r="H50" s="4"/>
      <x:c r="I50" s="4"/>
      <x:c r="J50" s="4"/>
      <x:c r="K50" s="4"/>
      <x:c r="L50" s="4"/>
    </x:row>
    <x:row r="51" ht="19" customHeight="1">
      <x:c r="A51" s="1"/>
      <x:c r="B51" s="1"/>
      <x:c r="C51" s="4"/>
      <x:c r="D51" s="4"/>
      <x:c r="E51" s="4"/>
      <x:c r="F51" s="4"/>
      <x:c r="G51" s="4"/>
      <x:c r="H51" s="4"/>
      <x:c r="I51" s="4"/>
      <x:c r="J51" s="4"/>
      <x:c r="K51" s="4"/>
      <x:c r="L51" s="4"/>
    </x:row>
    <x:row r="52" ht="19" customHeight="1">
      <x:c r="A52" s="1"/>
      <x:c r="B52" s="1"/>
      <x:c r="C52" s="4"/>
      <x:c r="D52" s="4"/>
      <x:c r="E52" s="4"/>
      <x:c r="F52" s="4"/>
      <x:c r="G52" s="4"/>
      <x:c r="H52" s="4"/>
      <x:c r="I52" s="4"/>
      <x:c r="J52" s="4"/>
      <x:c r="K52" s="4"/>
      <x:c r="L52" s="4"/>
    </x:row>
    <x:row r="53" ht="19" customHeight="1">
      <x:c r="A53" s="1"/>
      <x:c r="B53" s="1"/>
      <x:c r="C53" s="4"/>
      <x:c r="D53" s="4"/>
      <x:c r="E53" s="4"/>
      <x:c r="F53" s="4"/>
      <x:c r="G53" s="4"/>
      <x:c r="H53" s="4"/>
      <x:c r="I53" s="4"/>
      <x:c r="J53" s="4"/>
      <x:c r="K53" s="4"/>
      <x:c r="L53" s="4"/>
    </x:row>
    <x:row r="54" ht="19" customHeight="1">
      <x:c r="A54" s="1"/>
      <x:c r="B54" s="1"/>
      <x:c r="C54" s="4"/>
      <x:c r="D54" s="4"/>
      <x:c r="E54" s="4"/>
      <x:c r="F54" s="4"/>
      <x:c r="G54" s="4"/>
      <x:c r="H54" s="4"/>
      <x:c r="I54" s="4"/>
      <x:c r="J54" s="4"/>
      <x:c r="K54" s="4"/>
      <x:c r="L54" s="4"/>
    </x:row>
    <x:row r="55" ht="19" customHeight="1">
      <x:c r="A55" s="1"/>
      <x:c r="B55" s="1"/>
      <x:c r="C55" s="4"/>
      <x:c r="D55" s="4"/>
      <x:c r="E55" s="4"/>
      <x:c r="F55" s="4"/>
      <x:c r="G55" s="4"/>
      <x:c r="H55" s="4"/>
      <x:c r="I55" s="4"/>
      <x:c r="J55" s="4"/>
      <x:c r="K55" s="4"/>
      <x:c r="L55" s="4"/>
    </x:row>
    <x:row r="56" ht="19" customHeight="1">
      <x:c r="A56" s="1"/>
      <x:c r="B56" s="1"/>
      <x:c r="C56" s="4"/>
      <x:c r="D56" s="4"/>
      <x:c r="E56" s="4"/>
      <x:c r="F56" s="4"/>
      <x:c r="G56" s="4"/>
      <x:c r="H56" s="4"/>
      <x:c r="I56" s="4"/>
      <x:c r="J56" s="4"/>
      <x:c r="K56" s="4"/>
      <x:c r="L56" s="4"/>
    </x:row>
    <x:row r="57" ht="19" customHeight="1">
      <x:c r="A57" s="1"/>
      <x:c r="B57" s="1"/>
      <x:c r="C57" s="4"/>
      <x:c r="D57" s="4"/>
      <x:c r="E57" s="4"/>
      <x:c r="F57" s="4"/>
      <x:c r="G57" s="4"/>
      <x:c r="H57" s="4"/>
      <x:c r="I57" s="4"/>
      <x:c r="J57" s="4"/>
      <x:c r="K57" s="4"/>
      <x:c r="L57" s="4"/>
    </x:row>
    <x:row r="58" ht="19" customHeight="1">
      <x:c r="A58" s="1"/>
      <x:c r="B58" s="1"/>
      <x:c r="C58" s="4"/>
      <x:c r="D58" s="4"/>
      <x:c r="E58" s="4"/>
      <x:c r="F58" s="4"/>
      <x:c r="G58" s="4"/>
      <x:c r="H58" s="4"/>
      <x:c r="I58" s="4"/>
      <x:c r="J58" s="4"/>
      <x:c r="K58" s="4"/>
      <x:c r="L58" s="4"/>
    </x:row>
    <x:row r="59" ht="19" customHeight="1">
      <x:c r="A59" s="1"/>
      <x:c r="B59" s="1"/>
      <x:c r="C59" s="4"/>
      <x:c r="D59" s="4"/>
      <x:c r="E59" s="4"/>
      <x:c r="F59" s="4"/>
      <x:c r="G59" s="4"/>
      <x:c r="H59" s="4"/>
      <x:c r="I59" s="4"/>
      <x:c r="J59" s="4"/>
      <x:c r="K59" s="4"/>
      <x:c r="L59" s="4"/>
    </x:row>
    <x:row r="60" ht="19" customHeight="1">
      <x:c r="A60" s="1"/>
      <x:c r="B60" s="1"/>
      <x:c r="C60" s="4"/>
      <x:c r="D60" s="4"/>
      <x:c r="E60" s="4"/>
      <x:c r="F60" s="4"/>
      <x:c r="G60" s="4"/>
      <x:c r="H60" s="4"/>
      <x:c r="I60" s="4"/>
      <x:c r="J60" s="4"/>
      <x:c r="K60" s="4"/>
      <x:c r="L60" s="4"/>
    </x:row>
    <x:row r="61" ht="19" customHeight="1">
      <x:c r="A61" s="1"/>
      <x:c r="B61" s="1"/>
      <x:c r="C61" s="4"/>
      <x:c r="D61" s="4"/>
      <x:c r="E61" s="4"/>
      <x:c r="F61" s="4"/>
      <x:c r="G61" s="4"/>
      <x:c r="H61" s="4"/>
      <x:c r="I61" s="4"/>
      <x:c r="J61" s="4"/>
      <x:c r="K61" s="4"/>
      <x:c r="L61" s="4"/>
    </x:row>
    <x:row r="62" ht="19" customHeight="1">
      <x:c r="A62" s="1"/>
      <x:c r="B62" s="1"/>
      <x:c r="C62" s="4"/>
      <x:c r="D62" s="4"/>
      <x:c r="E62" s="4"/>
      <x:c r="F62" s="4"/>
      <x:c r="G62" s="4"/>
      <x:c r="H62" s="4"/>
      <x:c r="I62" s="4"/>
      <x:c r="J62" s="4"/>
      <x:c r="K62" s="4"/>
      <x:c r="L62" s="4"/>
    </x:row>
    <x:row r="63" ht="19" customHeight="1">
      <x:c r="A63" s="1"/>
      <x:c r="B63" s="1"/>
      <x:c r="C63" s="4"/>
      <x:c r="D63" s="4"/>
      <x:c r="E63" s="4"/>
      <x:c r="F63" s="4"/>
      <x:c r="G63" s="4"/>
      <x:c r="H63" s="4"/>
      <x:c r="I63" s="4"/>
      <x:c r="J63" s="4"/>
      <x:c r="K63" s="4"/>
      <x:c r="L63" s="4"/>
    </x:row>
    <x:row r="64" ht="19" customHeight="1">
      <x:c r="A64" s="1"/>
      <x:c r="B64" s="1"/>
      <x:c r="C64" s="4"/>
      <x:c r="D64" s="4"/>
      <x:c r="E64" s="4"/>
      <x:c r="F64" s="4"/>
      <x:c r="G64" s="4"/>
      <x:c r="H64" s="4"/>
      <x:c r="I64" s="4"/>
      <x:c r="J64" s="4"/>
      <x:c r="K64" s="4"/>
      <x:c r="L64" s="4"/>
    </x:row>
    <x:row r="65" ht="19" customHeight="1">
      <x:c r="A65" s="1"/>
      <x:c r="B65" s="1"/>
      <x:c r="C65" s="4"/>
      <x:c r="D65" s="4"/>
      <x:c r="E65" s="4"/>
      <x:c r="F65" s="4"/>
      <x:c r="G65" s="4"/>
      <x:c r="H65" s="4"/>
      <x:c r="I65" s="4"/>
      <x:c r="J65" s="4"/>
      <x:c r="K65" s="4"/>
      <x:c r="L65" s="4"/>
    </x:row>
    <x:row r="66" ht="19" customHeight="1">
      <x:c r="A66" s="1"/>
      <x:c r="B66" s="1"/>
      <x:c r="C66" s="4"/>
      <x:c r="D66" s="4"/>
      <x:c r="E66" s="4"/>
      <x:c r="F66" s="4"/>
      <x:c r="G66" s="4"/>
      <x:c r="H66" s="4"/>
      <x:c r="I66" s="4"/>
      <x:c r="J66" s="4"/>
      <x:c r="K66" s="4"/>
      <x:c r="L66" s="4"/>
    </x:row>
    <x:row r="67" ht="19" customHeight="1">
      <x:c r="A67" s="1"/>
      <x:c r="B67" s="1"/>
      <x:c r="C67" s="4"/>
      <x:c r="D67" s="4"/>
      <x:c r="E67" s="4"/>
      <x:c r="F67" s="4"/>
      <x:c r="G67" s="4"/>
      <x:c r="H67" s="4"/>
      <x:c r="I67" s="4"/>
      <x:c r="J67" s="4"/>
      <x:c r="K67" s="4"/>
      <x:c r="L67" s="4"/>
    </x:row>
    <x:row r="68" ht="19" customHeight="1">
      <x:c r="A68" s="1"/>
      <x:c r="B68" s="1"/>
      <x:c r="C68" s="4"/>
      <x:c r="D68" s="4"/>
      <x:c r="E68" s="4"/>
      <x:c r="F68" s="4"/>
      <x:c r="G68" s="4"/>
      <x:c r="H68" s="4"/>
      <x:c r="I68" s="4"/>
      <x:c r="J68" s="4"/>
      <x:c r="K68" s="4"/>
      <x:c r="L68" s="4"/>
    </x:row>
    <x:row r="69" ht="19" customHeight="1">
      <x:c r="A69" s="1"/>
      <x:c r="B69" s="1"/>
      <x:c r="C69" s="4"/>
      <x:c r="D69" s="4"/>
      <x:c r="E69" s="4"/>
      <x:c r="F69" s="4"/>
      <x:c r="G69" s="4"/>
      <x:c r="H69" s="4"/>
      <x:c r="I69" s="4"/>
      <x:c r="J69" s="4"/>
      <x:c r="K69" s="4"/>
      <x:c r="L69" s="4"/>
    </x:row>
    <x:row r="70" ht="19" customHeight="1">
      <x:c r="A70" s="1"/>
      <x:c r="B70" s="1"/>
      <x:c r="C70" s="4"/>
      <x:c r="D70" s="4"/>
      <x:c r="E70" s="4"/>
      <x:c r="F70" s="4"/>
      <x:c r="G70" s="4"/>
      <x:c r="H70" s="4"/>
      <x:c r="I70" s="4"/>
      <x:c r="J70" s="4"/>
      <x:c r="K70" s="4"/>
      <x:c r="L70" s="4"/>
    </x:row>
    <x:row r="71" ht="19" customHeight="1">
      <x:c r="A71" s="1"/>
      <x:c r="B71" s="1"/>
      <x:c r="C71" s="4"/>
      <x:c r="D71" s="4"/>
      <x:c r="E71" s="4"/>
      <x:c r="F71" s="4"/>
      <x:c r="G71" s="4"/>
      <x:c r="H71" s="4"/>
      <x:c r="I71" s="4"/>
      <x:c r="J71" s="4"/>
      <x:c r="K71" s="4"/>
      <x:c r="L71" s="4"/>
    </x:row>
    <x:row r="72" ht="19" customHeight="1">
      <x:c r="A72" s="1"/>
      <x:c r="B72" s="1"/>
      <x:c r="C72" s="4"/>
      <x:c r="D72" s="4"/>
      <x:c r="E72" s="4"/>
      <x:c r="F72" s="4"/>
      <x:c r="G72" s="4"/>
      <x:c r="H72" s="4"/>
      <x:c r="I72" s="4"/>
      <x:c r="J72" s="4"/>
      <x:c r="K72" s="4"/>
      <x:c r="L72" s="4"/>
    </x:row>
    <x:row r="73" ht="19" customHeight="1">
      <x:c r="A73" s="1"/>
      <x:c r="B73" s="1"/>
      <x:c r="C73" s="4"/>
      <x:c r="D73" s="4"/>
      <x:c r="E73" s="4"/>
      <x:c r="F73" s="4"/>
      <x:c r="G73" s="4"/>
      <x:c r="H73" s="4"/>
      <x:c r="I73" s="4"/>
      <x:c r="J73" s="4"/>
      <x:c r="K73" s="4"/>
      <x:c r="L73" s="4"/>
    </x:row>
    <x:row r="74" ht="19" customHeight="1">
      <x:c r="A74" s="1"/>
      <x:c r="B74" s="1"/>
      <x:c r="C74" s="4"/>
      <x:c r="D74" s="4"/>
      <x:c r="E74" s="4"/>
      <x:c r="F74" s="4"/>
      <x:c r="G74" s="4"/>
      <x:c r="H74" s="4"/>
      <x:c r="I74" s="4"/>
      <x:c r="J74" s="4"/>
      <x:c r="K74" s="4"/>
      <x:c r="L74" s="4"/>
    </x:row>
    <x:row r="75" ht="19" customHeight="1">
      <x:c r="A75" s="1"/>
      <x:c r="B75" s="1"/>
      <x:c r="C75" s="4"/>
      <x:c r="D75" s="4"/>
      <x:c r="E75" s="4"/>
      <x:c r="F75" s="4"/>
      <x:c r="G75" s="4"/>
      <x:c r="H75" s="4"/>
      <x:c r="I75" s="4"/>
      <x:c r="J75" s="4"/>
      <x:c r="K75" s="4"/>
      <x:c r="L75" s="4"/>
    </x:row>
    <x:row r="76" ht="19" customHeight="1">
      <x:c r="A76" s="1"/>
      <x:c r="B76" s="1"/>
      <x:c r="C76" s="4"/>
      <x:c r="D76" s="4"/>
      <x:c r="E76" s="4"/>
      <x:c r="F76" s="4"/>
      <x:c r="G76" s="4"/>
      <x:c r="H76" s="4"/>
      <x:c r="I76" s="4"/>
      <x:c r="J76" s="4"/>
      <x:c r="K76" s="4"/>
      <x:c r="L76" s="4"/>
    </x:row>
    <x:row r="77" ht="19" customHeight="1">
      <x:c r="A77" s="1"/>
      <x:c r="B77" s="1"/>
      <x:c r="C77" s="4"/>
      <x:c r="D77" s="4"/>
      <x:c r="E77" s="4"/>
      <x:c r="F77" s="4"/>
      <x:c r="G77" s="4"/>
      <x:c r="H77" s="4"/>
      <x:c r="I77" s="4"/>
      <x:c r="J77" s="4"/>
      <x:c r="K77" s="4"/>
      <x:c r="L77" s="4"/>
    </x:row>
    <x:row r="78" ht="19" customHeight="1">
      <x:c r="A78" s="1"/>
      <x:c r="B78" s="1"/>
      <x:c r="C78" s="4"/>
      <x:c r="D78" s="4"/>
      <x:c r="E78" s="4"/>
      <x:c r="F78" s="4"/>
      <x:c r="G78" s="4"/>
      <x:c r="H78" s="4"/>
      <x:c r="I78" s="4"/>
      <x:c r="J78" s="4"/>
      <x:c r="K78" s="4"/>
      <x:c r="L78" s="4"/>
    </x:row>
    <x:row r="79" ht="19" customHeight="1">
      <x:c r="A79" s="1"/>
      <x:c r="B79" s="1"/>
      <x:c r="C79" s="4"/>
      <x:c r="D79" s="4"/>
      <x:c r="E79" s="4"/>
      <x:c r="F79" s="4"/>
      <x:c r="G79" s="4"/>
      <x:c r="H79" s="4"/>
      <x:c r="I79" s="4"/>
      <x:c r="J79" s="4"/>
      <x:c r="K79" s="4"/>
      <x:c r="L79" s="4"/>
    </x:row>
    <x:row r="80" ht="19" customHeight="1">
      <x:c r="A80" s="1"/>
      <x:c r="B80" s="1"/>
      <x:c r="C80" s="4"/>
      <x:c r="D80" s="4"/>
      <x:c r="E80" s="4"/>
      <x:c r="F80" s="4"/>
      <x:c r="G80" s="4"/>
      <x:c r="H80" s="4"/>
      <x:c r="I80" s="4"/>
      <x:c r="J80" s="4"/>
      <x:c r="K80" s="4"/>
      <x:c r="L80" s="4"/>
    </x:row>
    <x:row r="81" ht="19" customHeight="1">
      <x:c r="A81" s="1"/>
      <x:c r="B81" s="1"/>
      <x:c r="C81" s="4"/>
      <x:c r="D81" s="4"/>
      <x:c r="E81" s="4"/>
      <x:c r="F81" s="4"/>
      <x:c r="G81" s="4"/>
      <x:c r="H81" s="4"/>
      <x:c r="I81" s="4"/>
      <x:c r="J81" s="4"/>
      <x:c r="K81" s="4"/>
      <x:c r="L81" s="4"/>
    </x:row>
    <x:row r="82" ht="19" customHeight="1">
      <x:c r="A82" s="1"/>
      <x:c r="B82" s="1"/>
      <x:c r="C82" s="4"/>
      <x:c r="D82" s="4"/>
      <x:c r="E82" s="4"/>
      <x:c r="F82" s="4"/>
      <x:c r="G82" s="4"/>
      <x:c r="H82" s="4"/>
      <x:c r="I82" s="4"/>
      <x:c r="J82" s="4"/>
      <x:c r="K82" s="4"/>
      <x:c r="L82" s="4"/>
    </x:row>
    <x:row r="83" ht="19" customHeight="1">
      <x:c r="A83" s="1"/>
      <x:c r="B83" s="1"/>
      <x:c r="C83" s="4"/>
      <x:c r="D83" s="4"/>
      <x:c r="E83" s="4"/>
      <x:c r="F83" s="4"/>
      <x:c r="G83" s="4"/>
      <x:c r="H83" s="4"/>
      <x:c r="I83" s="4"/>
      <x:c r="J83" s="4"/>
      <x:c r="K83" s="4"/>
      <x:c r="L83" s="4"/>
    </x:row>
    <x:row r="84" ht="19" customHeight="1">
      <x:c r="A84" s="1"/>
      <x:c r="B84" s="1"/>
      <x:c r="C84" s="4"/>
      <x:c r="D84" s="4"/>
      <x:c r="E84" s="4"/>
      <x:c r="F84" s="4"/>
      <x:c r="G84" s="4"/>
      <x:c r="H84" s="4"/>
      <x:c r="I84" s="4"/>
      <x:c r="J84" s="4"/>
      <x:c r="K84" s="4"/>
      <x:c r="L84" s="4"/>
    </x:row>
    <x:row r="85" ht="19" customHeight="1">
      <x:c r="A85" s="1"/>
      <x:c r="B85" s="1"/>
      <x:c r="C85" s="4"/>
      <x:c r="D85" s="4"/>
      <x:c r="E85" s="4"/>
      <x:c r="F85" s="4"/>
      <x:c r="G85" s="4"/>
      <x:c r="H85" s="4"/>
      <x:c r="I85" s="4"/>
      <x:c r="J85" s="4"/>
      <x:c r="K85" s="4"/>
      <x:c r="L85" s="4"/>
    </x:row>
    <x:row r="86" ht="19" customHeight="1">
      <x:c r="A86" s="1"/>
      <x:c r="B86" s="1"/>
      <x:c r="C86" s="4"/>
      <x:c r="D86" s="4"/>
      <x:c r="E86" s="4"/>
      <x:c r="F86" s="4"/>
      <x:c r="G86" s="4"/>
      <x:c r="H86" s="4"/>
      <x:c r="I86" s="4"/>
      <x:c r="J86" s="4"/>
      <x:c r="K86" s="4"/>
      <x:c r="L86" s="4"/>
    </x:row>
    <x:row r="87" ht="19" customHeight="1">
      <x:c r="A87" s="1"/>
      <x:c r="B87" s="1"/>
      <x:c r="C87" s="4"/>
      <x:c r="D87" s="4"/>
      <x:c r="E87" s="4"/>
      <x:c r="F87" s="4"/>
      <x:c r="G87" s="4"/>
      <x:c r="H87" s="4"/>
      <x:c r="I87" s="4"/>
      <x:c r="J87" s="4"/>
      <x:c r="K87" s="4"/>
      <x:c r="L87" s="4"/>
    </x:row>
    <x:row r="88" ht="19" customHeight="1">
      <x:c r="A88" s="1"/>
      <x:c r="B88" s="1"/>
      <x:c r="C88" s="4"/>
      <x:c r="D88" s="4"/>
      <x:c r="E88" s="4"/>
      <x:c r="F88" s="4"/>
      <x:c r="G88" s="4"/>
      <x:c r="H88" s="4"/>
      <x:c r="I88" s="4"/>
      <x:c r="J88" s="4"/>
      <x:c r="K88" s="4"/>
      <x:c r="L88" s="4"/>
    </x:row>
    <x:row r="89" ht="19" customHeight="1">
      <x:c r="A89" s="1"/>
      <x:c r="B89" s="1"/>
      <x:c r="C89" s="4"/>
      <x:c r="D89" s="4"/>
      <x:c r="E89" s="4"/>
      <x:c r="F89" s="4"/>
      <x:c r="G89" s="4"/>
      <x:c r="H89" s="4"/>
      <x:c r="I89" s="4"/>
      <x:c r="J89" s="4"/>
      <x:c r="K89" s="4"/>
      <x:c r="L89" s="4"/>
    </x:row>
    <x:row r="90" ht="19" customHeight="1">
      <x:c r="A90" s="1"/>
      <x:c r="B90" s="1"/>
      <x:c r="C90" s="4"/>
      <x:c r="D90" s="4"/>
      <x:c r="E90" s="4"/>
      <x:c r="F90" s="4"/>
      <x:c r="G90" s="4"/>
      <x:c r="H90" s="4"/>
      <x:c r="I90" s="4"/>
      <x:c r="J90" s="4"/>
      <x:c r="K90" s="4"/>
      <x:c r="L90" s="4"/>
    </x:row>
    <x:row r="91" ht="19" customHeight="1">
      <x:c r="A91" s="1"/>
      <x:c r="B91" s="1"/>
      <x:c r="C91" s="4"/>
      <x:c r="D91" s="4"/>
      <x:c r="E91" s="4"/>
      <x:c r="F91" s="4"/>
      <x:c r="G91" s="4"/>
      <x:c r="H91" s="4"/>
      <x:c r="I91" s="4"/>
      <x:c r="J91" s="4"/>
      <x:c r="K91" s="4"/>
      <x:c r="L91" s="4"/>
    </x:row>
    <x:row r="92" ht="19" customHeight="1">
      <x:c r="A92" s="1"/>
      <x:c r="B92" s="1"/>
      <x:c r="C92" s="4"/>
      <x:c r="D92" s="4"/>
      <x:c r="E92" s="4"/>
      <x:c r="F92" s="4"/>
      <x:c r="G92" s="4"/>
      <x:c r="H92" s="4"/>
      <x:c r="I92" s="4"/>
      <x:c r="J92" s="4"/>
      <x:c r="K92" s="4"/>
      <x:c r="L92" s="4"/>
    </x:row>
    <x:row r="93" ht="19" customHeight="1">
      <x:c r="A93" s="1"/>
      <x:c r="B93" s="1"/>
      <x:c r="C93" s="4"/>
      <x:c r="D93" s="4"/>
      <x:c r="E93" s="4"/>
      <x:c r="F93" s="4"/>
      <x:c r="G93" s="4"/>
      <x:c r="H93" s="4"/>
      <x:c r="I93" s="4"/>
      <x:c r="J93" s="4"/>
      <x:c r="K93" s="4"/>
      <x:c r="L93" s="4"/>
    </x:row>
    <x:row r="94" ht="19" customHeight="1">
      <x:c r="A94" s="1"/>
      <x:c r="B94" s="1"/>
      <x:c r="C94" s="4"/>
      <x:c r="D94" s="4"/>
      <x:c r="E94" s="4"/>
      <x:c r="F94" s="4"/>
      <x:c r="G94" s="4"/>
      <x:c r="H94" s="4"/>
      <x:c r="I94" s="4"/>
      <x:c r="J94" s="4"/>
      <x:c r="K94" s="4"/>
      <x:c r="L94" s="4"/>
    </x:row>
    <x:row r="95" ht="19" customHeight="1">
      <x:c r="A95" s="1"/>
      <x:c r="B95" s="1"/>
      <x:c r="C95" s="4"/>
      <x:c r="D95" s="4"/>
      <x:c r="E95" s="4"/>
      <x:c r="F95" s="4"/>
      <x:c r="G95" s="4"/>
      <x:c r="H95" s="4"/>
      <x:c r="I95" s="4"/>
      <x:c r="J95" s="4"/>
      <x:c r="K95" s="4"/>
      <x:c r="L95" s="4"/>
    </x:row>
    <x:row r="96" ht="19" customHeight="1">
      <x:c r="A96" s="1"/>
      <x:c r="B96" s="1"/>
      <x:c r="C96" s="4"/>
      <x:c r="D96" s="4"/>
      <x:c r="E96" s="4"/>
      <x:c r="F96" s="4"/>
      <x:c r="G96" s="4"/>
      <x:c r="H96" s="4"/>
      <x:c r="I96" s="4"/>
      <x:c r="J96" s="4"/>
      <x:c r="K96" s="4"/>
      <x:c r="L96" s="4"/>
    </x:row>
    <x:row r="97" ht="19" customHeight="1">
      <x:c r="A97" s="1"/>
      <x:c r="B97" s="1"/>
      <x:c r="C97" s="4"/>
      <x:c r="D97" s="4"/>
      <x:c r="E97" s="4"/>
      <x:c r="F97" s="4"/>
      <x:c r="G97" s="4"/>
      <x:c r="H97" s="4"/>
      <x:c r="I97" s="4"/>
      <x:c r="J97" s="4"/>
      <x:c r="K97" s="4"/>
      <x:c r="L97" s="4"/>
    </x:row>
    <x:row r="98" ht="19" customHeight="1">
      <x:c r="A98" s="1"/>
      <x:c r="B98" s="1"/>
      <x:c r="C98" s="4"/>
      <x:c r="D98" s="4"/>
      <x:c r="E98" s="4"/>
      <x:c r="F98" s="4"/>
      <x:c r="G98" s="4"/>
      <x:c r="H98" s="4"/>
      <x:c r="I98" s="4"/>
      <x:c r="J98" s="4"/>
      <x:c r="K98" s="4"/>
      <x:c r="L98" s="4"/>
    </x:row>
    <x:row r="99" ht="19" customHeight="1">
      <x:c r="A99" s="1"/>
      <x:c r="B99" s="1"/>
      <x:c r="C99" s="4"/>
      <x:c r="D99" s="4"/>
      <x:c r="E99" s="4"/>
      <x:c r="F99" s="4"/>
      <x:c r="G99" s="4"/>
      <x:c r="H99" s="4"/>
      <x:c r="I99" s="4"/>
      <x:c r="J99" s="4"/>
      <x:c r="K99" s="4"/>
      <x:c r="L99" s="4"/>
    </x:row>
    <x:row r="100" ht="19" customHeight="1">
      <x:c r="A100" s="1"/>
      <x:c r="B100" s="1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</x:row>
    <x:row r="101" ht="19" customHeight="1">
      <x:c r="A101" s="1"/>
      <x:c r="B101" s="1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</x:row>
    <x:row r="102" ht="19" customHeight="1">
      <x:c r="A102" s="1"/>
      <x:c r="B102" s="1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</x:row>
    <x:row r="103" ht="19" customHeight="1">
      <x:c r="A103" s="1"/>
      <x:c r="B103" s="1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</x:row>
    <x:row r="104" ht="19" customHeight="1">
      <x:c r="A104" s="1"/>
      <x:c r="B104" s="1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</x:row>
    <x:row r="105" ht="19" customHeight="1">
      <x:c r="A105" s="1"/>
      <x:c r="B105" s="1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</x:row>
    <x:row r="106" ht="19" customHeight="1">
      <x:c r="A106" s="1"/>
      <x:c r="B106" s="1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</x:row>
    <x:row r="107" ht="19" customHeight="1">
      <x:c r="A107" s="1"/>
      <x:c r="B107" s="1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</x:row>
    <x:row r="108" ht="19" customHeight="1">
      <x:c r="A108" s="1"/>
      <x:c r="B108" s="1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</x:row>
    <x:row r="109" ht="19" customHeight="1">
      <x:c r="A109" s="1"/>
      <x:c r="B109" s="1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</x:row>
    <x:row r="110" ht="19" customHeight="1">
      <x:c r="A110" s="1"/>
      <x:c r="B110" s="1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</x:row>
    <x:row r="111" ht="19" customHeight="1">
      <x:c r="A111" s="1"/>
      <x:c r="B111" s="1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</x:row>
    <x:row r="112" ht="19" customHeight="1">
      <x:c r="A112" s="1"/>
      <x:c r="B112" s="1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</x:row>
    <x:row r="113" ht="19" customHeight="1">
      <x:c r="A113" s="1"/>
      <x:c r="B113" s="1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</x:row>
    <x:row r="114" ht="19" customHeight="1">
      <x:c r="A114" s="1"/>
      <x:c r="B114" s="1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</x:row>
    <x:row r="115" ht="19" customHeight="1">
      <x:c r="A115" s="1"/>
      <x:c r="B115" s="1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</x:row>
    <x:row r="116" ht="19" customHeight="1">
      <x:c r="A116" s="1"/>
      <x:c r="B116" s="1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</x:row>
    <x:row r="117" ht="19" customHeight="1">
      <x:c r="A117" s="1"/>
      <x:c r="B117" s="1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</x:row>
    <x:row r="118" ht="19" customHeight="1">
      <x:c r="A118" s="1"/>
      <x:c r="B118" s="1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</x:row>
    <x:row r="119" ht="19" customHeight="1">
      <x:c r="A119" s="1"/>
      <x:c r="B119" s="1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</x:row>
    <x:row r="120" ht="19" customHeight="1">
      <x:c r="A120" s="1"/>
      <x:c r="B120" s="1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</x:row>
    <x:row r="121" ht="19" customHeight="1">
      <x:c r="A121" s="1"/>
      <x:c r="B121" s="1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</x:row>
    <x:row r="122" ht="19" customHeight="1">
      <x:c r="A122" s="1"/>
      <x:c r="B122" s="1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</x:row>
    <x:row r="123" ht="19" customHeight="1">
      <x:c r="A123" s="1"/>
      <x:c r="B123" s="1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</x:row>
    <x:row r="124" ht="19" customHeight="1">
      <x:c r="A124" s="1"/>
      <x:c r="B124" s="1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</x:row>
    <x:row r="125" ht="19" customHeight="1">
      <x:c r="A125" s="1"/>
      <x:c r="B125" s="1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</x:row>
  </x:sheetData>
  <x:mergeCells>
    <x:mergeCell ref="C7:L8"/>
    <x:mergeCell ref="C10:L11"/>
    <x:mergeCell ref="C13:L14"/>
    <x:mergeCell ref="C16:L17"/>
    <x:mergeCell ref="C19:L20"/>
    <x:mergeCell ref="C22:L23"/>
    <x:mergeCell ref="C25:L26"/>
    <x:mergeCell ref="A30:L30"/>
    <x:mergeCell ref="A32:L3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F343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6" hidden="0" customWidth="1"/>
    <x:col min="2" max="2" width="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8" customHeight="1">
      <x:c r="A1" s="88" t="str">
        <x:v>Forecast Assumptions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</x:row>
    <x:row r="2" ht="19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9" customHeight="1">
      <x:c r="A3" s="1" t="str">
        <x:v>Pricol Limited | Consolidated | INR crore, except per-share data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19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19" customHeight="1">
      <x:c r="A5" s="91" t="str">
        <x:v>Metric</x:v>
      </x:c>
      <x:c r="B5" s="91"/>
      <x:c r="C5" s="91" t="str">
        <x:v>FY2022A</x:v>
      </x:c>
      <x:c r="D5" s="91" t="str">
        <x:v>FY2023A</x:v>
      </x:c>
      <x:c r="E5" s="91" t="str">
        <x:v>FY2024A</x:v>
      </x:c>
      <x:c r="F5" s="91" t="str">
        <x:v>FY2025A</x:v>
      </x:c>
      <x:c r="G5" s="91" t="str">
        <x:v>FY2026A</x:v>
      </x:c>
      <x:c r="H5" s="91" t="str">
        <x:v>FY2027E</x:v>
      </x:c>
      <x:c r="I5" s="91" t="str">
        <x:v>FY2028E</x:v>
      </x:c>
      <x:c r="J5" s="91" t="str">
        <x:v>FY2029E</x:v>
      </x:c>
      <x:c r="K5" s="91" t="str">
        <x:v>FY2030E</x:v>
      </x:c>
      <x:c r="L5" s="91" t="str">
        <x:v>FY2031E</x:v>
      </x:c>
    </x:row>
    <x:row r="6" ht="19" customHeight="1">
      <x:c r="A6" s="1"/>
      <x:c r="B6" s="1"/>
      <x:c r="C6" s="4"/>
      <x:c r="D6" s="4"/>
      <x:c r="E6" s="4"/>
      <x:c r="F6" s="4"/>
      <x:c r="G6" s="4"/>
      <x:c r="H6" s="4"/>
      <x:c r="I6" s="4"/>
      <x:c r="J6" s="4"/>
      <x:c r="K6" s="4"/>
      <x:c r="L6" s="4"/>
    </x:row>
    <x:row r="7" ht="19" customHeight="1">
      <x:c r="A7" s="94" t="str">
        <x:v>Operating drivers</x:v>
      </x:c>
      <x:c r="B7" s="94"/>
      <x:c r="C7" s="95"/>
      <x:c r="D7" s="95"/>
      <x:c r="E7" s="95"/>
      <x:c r="F7" s="95"/>
      <x:c r="G7" s="95"/>
      <x:c r="H7" s="95"/>
      <x:c r="I7" s="95"/>
      <x:c r="J7" s="95"/>
      <x:c r="K7" s="95"/>
      <x:c r="L7" s="95"/>
    </x:row>
    <x:row r="8" ht="19" customHeight="1">
      <x:c r="A8" s="1" t="str">
        <x:v>Core-business revenue growth</x:v>
      </x:c>
      <x:c r="B8" s="1"/>
      <x:c r="C8" s="27"/>
      <x:c r="D8" s="27"/>
      <x:c r="E8" s="27"/>
      <x:c r="F8" s="27"/>
      <x:c r="G8" s="27"/>
      <x:c r="H8" s="38" t="n">
        <x:v>0.12</x:v>
      </x:c>
      <x:c r="I8" s="38" t="n">
        <x:v>0.1</x:v>
      </x:c>
      <x:c r="J8" s="38" t="n">
        <x:v>0.09</x:v>
      </x:c>
      <x:c r="K8" s="38" t="n">
        <x:v>0.08</x:v>
      </x:c>
      <x:c r="L8" s="38" t="n">
        <x:v>0.07</x:v>
      </x:c>
    </x:row>
    <x:row r="9" ht="19" customHeight="1">
      <x:c r="A9" s="1" t="str">
        <x:v>Plastics revenue growth</x:v>
      </x:c>
      <x:c r="B9" s="1"/>
      <x:c r="C9" s="27"/>
      <x:c r="D9" s="27"/>
      <x:c r="E9" s="27"/>
      <x:c r="F9" s="27"/>
      <x:c r="G9" s="27"/>
      <x:c r="H9" s="38" t="n">
        <x:v>0.05</x:v>
      </x:c>
      <x:c r="I9" s="38" t="n">
        <x:v>0.15</x:v>
      </x:c>
      <x:c r="J9" s="38" t="n">
        <x:v>0.15</x:v>
      </x:c>
      <x:c r="K9" s="38" t="n">
        <x:v>0.12</x:v>
      </x:c>
      <x:c r="L9" s="38" t="n">
        <x:v>0.1</x:v>
      </x:c>
    </x:row>
    <x:row r="10" ht="19" customHeight="1">
      <x:c r="A10" s="1" t="str">
        <x:v>Operating EBITDA margin</x:v>
      </x:c>
      <x:c r="B10" s="1"/>
      <x:c r="C10" s="28" t="n">
        <x:f>'03_Historical_Analysis'!C8</x:f>
        <x:v>0.11690356057181327</x:v>
      </x:c>
      <x:c r="D10" s="28" t="n">
        <x:f>'03_Historical_Analysis'!D8</x:f>
        <x:v>0.11665454126594081</x:v>
      </x:c>
      <x:c r="E10" s="28" t="n">
        <x:f>'03_Historical_Analysis'!E8</x:f>
        <x:v>0.12019501164350116</x:v>
      </x:c>
      <x:c r="F10" s="28" t="n">
        <x:f>'03_Historical_Analysis'!F8</x:f>
        <x:v>0.1162330232696365</x:v>
      </x:c>
      <x:c r="G10" s="28" t="n">
        <x:f>'03_Historical_Analysis'!G8</x:f>
        <x:v>0.11615769154622856</x:v>
      </x:c>
      <x:c r="H10" s="38" t="n">
        <x:v>0.113</x:v>
      </x:c>
      <x:c r="I10" s="38" t="n">
        <x:v>0.115</x:v>
      </x:c>
      <x:c r="J10" s="38" t="n">
        <x:v>0.117</x:v>
      </x:c>
      <x:c r="K10" s="38" t="n">
        <x:v>0.118</x:v>
      </x:c>
      <x:c r="L10" s="38" t="n">
        <x:v>0.118</x:v>
      </x:c>
    </x:row>
    <x:row r="11" ht="19" customHeight="1">
      <x:c r="A11" s="1" t="str">
        <x:v>Inventory days (operating-cost basis)</x:v>
      </x:c>
      <x:c r="B11" s="1"/>
      <x:c r="C11" s="26" t="n">
        <x:f>'03_Historical_Analysis'!C11</x:f>
        <x:v>63.27375236124168</x:v>
      </x:c>
      <x:c r="D11" s="26" t="n">
        <x:f>'03_Historical_Analysis'!D11</x:f>
        <x:v>57.31676066682708</x:v>
      </x:c>
      <x:c r="E11" s="26" t="n">
        <x:f>'03_Historical_Analysis'!E11</x:f>
        <x:v>58.485635395437505</x:v>
      </x:c>
      <x:c r="F11" s="26" t="n">
        <x:f>'03_Historical_Analysis'!F11</x:f>
        <x:v>55.63609958680638</x:v>
      </x:c>
      <x:c r="G11" s="26" t="n">
        <x:f>'03_Historical_Analysis'!G11</x:f>
        <x:v>55.11950395219843</x:v>
      </x:c>
      <x:c r="H11" s="24" t="n">
        <x:v>56</x:v>
      </x:c>
      <x:c r="I11" s="24" t="n">
        <x:v>56</x:v>
      </x:c>
      <x:c r="J11" s="24" t="n">
        <x:v>56</x:v>
      </x:c>
      <x:c r="K11" s="24" t="n">
        <x:v>56</x:v>
      </x:c>
      <x:c r="L11" s="24" t="n">
        <x:v>56</x:v>
      </x:c>
    </x:row>
    <x:row r="12" ht="19" customHeight="1">
      <x:c r="A12" s="1" t="str">
        <x:v>Receivable days</x:v>
      </x:c>
      <x:c r="B12" s="1"/>
      <x:c r="C12" s="26" t="n">
        <x:f>'03_Historical_Analysis'!C12</x:f>
        <x:v>56.45529412351154</x:v>
      </x:c>
      <x:c r="D12" s="26" t="n">
        <x:f>'03_Historical_Analysis'!D12</x:f>
        <x:v>50.127305985461675</x:v>
      </x:c>
      <x:c r="E12" s="26" t="n">
        <x:f>'03_Historical_Analysis'!E12</x:f>
        <x:v>46.117911694267534</x:v>
      </x:c>
      <x:c r="F12" s="26" t="n">
        <x:f>'03_Historical_Analysis'!F12</x:f>
        <x:v>64.09926743736813</x:v>
      </x:c>
      <x:c r="G12" s="26" t="n">
        <x:f>'03_Historical_Analysis'!G12</x:f>
        <x:v>52.19189269451593</x:v>
      </x:c>
      <x:c r="H12" s="24" t="n">
        <x:v>53</x:v>
      </x:c>
      <x:c r="I12" s="24" t="n">
        <x:v>53</x:v>
      </x:c>
      <x:c r="J12" s="24" t="n">
        <x:v>53</x:v>
      </x:c>
      <x:c r="K12" s="24" t="n">
        <x:v>53</x:v>
      </x:c>
      <x:c r="L12" s="24" t="n">
        <x:v>53</x:v>
      </x:c>
    </x:row>
    <x:row r="13" ht="19" customHeight="1">
      <x:c r="A13" s="1" t="str">
        <x:v>Payable days (operating-cost basis)</x:v>
      </x:c>
      <x:c r="B13" s="1"/>
      <x:c r="C13" s="26" t="n">
        <x:f>'03_Historical_Analysis'!C13</x:f>
        <x:v>72.22990833309386</x:v>
      </x:c>
      <x:c r="D13" s="26" t="n">
        <x:f>'03_Historical_Analysis'!D13</x:f>
        <x:v>59.62713841285435</x:v>
      </x:c>
      <x:c r="E13" s="26" t="n">
        <x:f>'03_Historical_Analysis'!E13</x:f>
        <x:v>59.498571939897296</x:v>
      </x:c>
      <x:c r="F13" s="26" t="n">
        <x:f>'03_Historical_Analysis'!F13</x:f>
        <x:v>58.282661420831175</x:v>
      </x:c>
      <x:c r="G13" s="26" t="n">
        <x:f>'03_Historical_Analysis'!G13</x:f>
        <x:v>55.82468367012654</x:v>
      </x:c>
      <x:c r="H13" s="24" t="n">
        <x:v>56</x:v>
      </x:c>
      <x:c r="I13" s="24" t="n">
        <x:v>56</x:v>
      </x:c>
      <x:c r="J13" s="24" t="n">
        <x:v>56</x:v>
      </x:c>
      <x:c r="K13" s="24" t="n">
        <x:v>56</x:v>
      </x:c>
      <x:c r="L13" s="24" t="n">
        <x:v>56</x:v>
      </x:c>
    </x:row>
    <x:row r="14" ht="19" customHeight="1">
      <x:c r="A14" s="1" t="str">
        <x:v>Tax rate</x:v>
      </x:c>
      <x:c r="B14" s="1"/>
      <x:c r="C14" s="28" t="n">
        <x:f>'03_Historical_Analysis'!C16</x:f>
        <x:v>0.36355154622480995</x:v>
      </x:c>
      <x:c r="D14" s="28" t="n">
        <x:f>'03_Historical_Analysis'!D16</x:f>
        <x:v>0.1496023734824717</x:v>
      </x:c>
      <x:c r="E14" s="28" t="n">
        <x:f>'03_Historical_Analysis'!E16</x:f>
        <x:v>0.24363625214222778</x:v>
      </x:c>
      <x:c r="F14" s="28" t="n">
        <x:f>'03_Historical_Analysis'!F16</x:f>
        <x:v>0.26291867084418163</x:v>
      </x:c>
      <x:c r="G14" s="28" t="n">
        <x:f>'03_Historical_Analysis'!G16</x:f>
        <x:v>0.24215869946213817</x:v>
      </x:c>
      <x:c r="H14" s="38" t="n">
        <x:v>0.25</x:v>
      </x:c>
      <x:c r="I14" s="38" t="n">
        <x:v>0.25</x:v>
      </x:c>
      <x:c r="J14" s="38" t="n">
        <x:v>0.25</x:v>
      </x:c>
      <x:c r="K14" s="38" t="n">
        <x:v>0.25</x:v>
      </x:c>
      <x:c r="L14" s="38" t="n">
        <x:v>0.25</x:v>
      </x:c>
    </x:row>
    <x:row r="15" ht="19" customHeight="1">
      <x:c r="A15" s="1" t="str">
        <x:v>Other income / revenue</x:v>
      </x:c>
      <x:c r="B15" s="1"/>
      <x:c r="C15" s="27"/>
      <x:c r="D15" s="27"/>
      <x:c r="E15" s="27"/>
      <x:c r="F15" s="27"/>
      <x:c r="G15" s="27"/>
      <x:c r="H15" s="111" t="n">
        <x:v>0.0025</x:v>
      </x:c>
      <x:c r="I15" s="111" t="n">
        <x:v>0.0025</x:v>
      </x:c>
      <x:c r="J15" s="111" t="n">
        <x:v>0.0025</x:v>
      </x:c>
      <x:c r="K15" s="111" t="n">
        <x:v>0.0025</x:v>
      </x:c>
      <x:c r="L15" s="111" t="n">
        <x:v>0.0025</x:v>
      </x:c>
    </x:row>
    <x:row r="16" ht="19" customHeight="1">
      <x:c r="A16" s="1"/>
      <x:c r="B16" s="1"/>
      <x:c r="C16" s="4"/>
      <x:c r="D16" s="4"/>
      <x:c r="E16" s="4"/>
      <x:c r="F16" s="4"/>
      <x:c r="G16" s="4"/>
      <x:c r="H16" s="4"/>
      <x:c r="I16" s="4"/>
      <x:c r="J16" s="4"/>
      <x:c r="K16" s="4"/>
      <x:c r="L16" s="4"/>
    </x:row>
    <x:row r="17" ht="19" customHeight="1">
      <x:c r="A17" s="1"/>
      <x:c r="B17" s="1"/>
      <x:c r="C17" s="4"/>
      <x:c r="D17" s="4"/>
      <x:c r="E17" s="4"/>
      <x:c r="F17" s="4"/>
      <x:c r="G17" s="4"/>
      <x:c r="H17" s="4"/>
      <x:c r="I17" s="4"/>
      <x:c r="J17" s="4"/>
      <x:c r="K17" s="4"/>
      <x:c r="L17" s="4"/>
    </x:row>
    <x:row r="18" ht="19" customHeight="1">
      <x:c r="A18" s="94" t="str">
        <x:v>Investment and funding</x:v>
      </x:c>
      <x:c r="B18" s="94"/>
      <x:c r="C18" s="95"/>
      <x:c r="D18" s="95"/>
      <x:c r="E18" s="95"/>
      <x:c r="F18" s="95"/>
      <x:c r="G18" s="95"/>
      <x:c r="H18" s="95"/>
      <x:c r="I18" s="95"/>
      <x:c r="J18" s="95"/>
      <x:c r="K18" s="95"/>
      <x:c r="L18" s="95"/>
    </x:row>
    <x:row r="19" ht="19" customHeight="1">
      <x:c r="A19" s="1" t="str">
        <x:v>Cash capex</x:v>
      </x:c>
      <x:c r="B19" s="1"/>
      <x:c r="C19" s="4"/>
      <x:c r="D19" s="4"/>
      <x:c r="E19" s="4"/>
      <x:c r="F19" s="4"/>
      <x:c r="G19" s="4"/>
      <x:c r="H19" s="24" t="n">
        <x:v>350</x:v>
      </x:c>
      <x:c r="I19" s="24" t="n">
        <x:v>350</x:v>
      </x:c>
      <x:c r="J19" s="24" t="n">
        <x:v>275</x:v>
      </x:c>
      <x:c r="K19" s="24" t="n">
        <x:v>285</x:v>
      </x:c>
      <x:c r="L19" s="24" t="n">
        <x:v>300</x:v>
      </x:c>
    </x:row>
    <x:row r="20" ht="19" customHeight="1">
      <x:c r="A20" s="1" t="str">
        <x:v>PPE depreciation rate</x:v>
      </x:c>
      <x:c r="B20" s="1"/>
      <x:c r="C20" s="27"/>
      <x:c r="D20" s="27"/>
      <x:c r="E20" s="27"/>
      <x:c r="F20" s="27"/>
      <x:c r="G20" s="27"/>
      <x:c r="H20" s="38" t="n">
        <x:v>0.09</x:v>
      </x:c>
      <x:c r="I20" s="38" t="n">
        <x:v>0.09</x:v>
      </x:c>
      <x:c r="J20" s="38" t="n">
        <x:v>0.09</x:v>
      </x:c>
      <x:c r="K20" s="38" t="n">
        <x:v>0.09</x:v>
      </x:c>
      <x:c r="L20" s="38" t="n">
        <x:v>0.09</x:v>
      </x:c>
    </x:row>
    <x:row r="21" ht="19" customHeight="1">
      <x:c r="A21" s="1" t="str">
        <x:v>Scheduled debt repayment</x:v>
      </x:c>
      <x:c r="B21" s="1"/>
      <x:c r="C21" s="4"/>
      <x:c r="D21" s="4"/>
      <x:c r="E21" s="4"/>
      <x:c r="F21" s="4"/>
      <x:c r="G21" s="4"/>
      <x:c r="H21" s="24" t="n">
        <x:v>20</x:v>
      </x:c>
      <x:c r="I21" s="24" t="n">
        <x:v>20</x:v>
      </x:c>
      <x:c r="J21" s="24" t="n">
        <x:v>20</x:v>
      </x:c>
      <x:c r="K21" s="24" t="n">
        <x:v>20</x:v>
      </x:c>
      <x:c r="L21" s="24" t="n">
        <x:v>20</x:v>
      </x:c>
    </x:row>
    <x:row r="22" ht="19" customHeight="1">
      <x:c r="A22" s="1" t="str">
        <x:v>Minimum cash / revenue</x:v>
      </x:c>
      <x:c r="B22" s="1"/>
      <x:c r="C22" s="27"/>
      <x:c r="D22" s="27"/>
      <x:c r="E22" s="27"/>
      <x:c r="F22" s="27"/>
      <x:c r="G22" s="27"/>
      <x:c r="H22" s="38" t="n">
        <x:v>0.02</x:v>
      </x:c>
      <x:c r="I22" s="38" t="n">
        <x:v>0.02</x:v>
      </x:c>
      <x:c r="J22" s="38" t="n">
        <x:v>0.02</x:v>
      </x:c>
      <x:c r="K22" s="38" t="n">
        <x:v>0.02</x:v>
      </x:c>
      <x:c r="L22" s="38" t="n">
        <x:v>0.02</x:v>
      </x:c>
    </x:row>
    <x:row r="23" ht="19" customHeight="1">
      <x:c r="A23" s="1" t="str">
        <x:v>Borrowing interest rate</x:v>
      </x:c>
      <x:c r="B23" s="1"/>
      <x:c r="C23" s="27"/>
      <x:c r="D23" s="27"/>
      <x:c r="E23" s="27"/>
      <x:c r="F23" s="27"/>
      <x:c r="G23" s="27"/>
      <x:c r="H23" s="38" t="n">
        <x:v>0.085</x:v>
      </x:c>
      <x:c r="I23" s="38" t="n">
        <x:v>0.085</x:v>
      </x:c>
      <x:c r="J23" s="38" t="n">
        <x:v>0.085</x:v>
      </x:c>
      <x:c r="K23" s="38" t="n">
        <x:v>0.085</x:v>
      </x:c>
      <x:c r="L23" s="38" t="n">
        <x:v>0.085</x:v>
      </x:c>
    </x:row>
    <x:row r="24" ht="19" customHeight="1">
      <x:c r="A24" s="1" t="str">
        <x:v>New lease assets and liabilities</x:v>
      </x:c>
      <x:c r="B24" s="1"/>
      <x:c r="C24" s="4"/>
      <x:c r="D24" s="4"/>
      <x:c r="E24" s="4"/>
      <x:c r="F24" s="4"/>
      <x:c r="G24" s="4"/>
      <x:c r="H24" s="24" t="n">
        <x:v>8</x:v>
      </x:c>
      <x:c r="I24" s="24" t="n">
        <x:v>8</x:v>
      </x:c>
      <x:c r="J24" s="24" t="n">
        <x:v>8</x:v>
      </x:c>
      <x:c r="K24" s="24" t="n">
        <x:v>8</x:v>
      </x:c>
      <x:c r="L24" s="24" t="n">
        <x:v>8</x:v>
      </x:c>
    </x:row>
    <x:row r="25" ht="19" customHeight="1">
      <x:c r="A25" s="1" t="str">
        <x:v>Lease principal repayments</x:v>
      </x:c>
      <x:c r="B25" s="1"/>
      <x:c r="C25" s="4"/>
      <x:c r="D25" s="4"/>
      <x:c r="E25" s="4"/>
      <x:c r="F25" s="4"/>
      <x:c r="G25" s="4"/>
      <x:c r="H25" s="24" t="n">
        <x:v>7</x:v>
      </x:c>
      <x:c r="I25" s="24" t="n">
        <x:v>7</x:v>
      </x:c>
      <x:c r="J25" s="24" t="n">
        <x:v>7</x:v>
      </x:c>
      <x:c r="K25" s="24" t="n">
        <x:v>7</x:v>
      </x:c>
      <x:c r="L25" s="24" t="n">
        <x:v>7</x:v>
      </x:c>
    </x:row>
    <x:row r="26" ht="19" customHeight="1">
      <x:c r="A26" s="1" t="str">
        <x:v>Lease interest rate</x:v>
      </x:c>
      <x:c r="B26" s="1"/>
      <x:c r="C26" s="27"/>
      <x:c r="D26" s="27"/>
      <x:c r="E26" s="27"/>
      <x:c r="F26" s="27"/>
      <x:c r="G26" s="27"/>
      <x:c r="H26" s="38" t="n">
        <x:v>0.06</x:v>
      </x:c>
      <x:c r="I26" s="38" t="n">
        <x:v>0.06</x:v>
      </x:c>
      <x:c r="J26" s="38" t="n">
        <x:v>0.06</x:v>
      </x:c>
      <x:c r="K26" s="38" t="n">
        <x:v>0.06</x:v>
      </x:c>
      <x:c r="L26" s="38" t="n">
        <x:v>0.06</x:v>
      </x:c>
    </x:row>
    <x:row r="27" ht="19" customHeight="1">
      <x:c r="A27" s="1" t="str">
        <x:v>Dividend payout ratio</x:v>
      </x:c>
      <x:c r="B27" s="1"/>
      <x:c r="C27" s="27"/>
      <x:c r="D27" s="27"/>
      <x:c r="E27" s="27"/>
      <x:c r="F27" s="27"/>
      <x:c r="G27" s="27"/>
      <x:c r="H27" s="38" t="n">
        <x:v>0.1</x:v>
      </x:c>
      <x:c r="I27" s="38" t="n">
        <x:v>0.1</x:v>
      </x:c>
      <x:c r="J27" s="38" t="n">
        <x:v>0.1</x:v>
      </x:c>
      <x:c r="K27" s="38" t="n">
        <x:v>0.1</x:v>
      </x:c>
      <x:c r="L27" s="38" t="n">
        <x:v>0.1</x:v>
      </x:c>
    </x:row>
    <x:row r="28" ht="19" customHeight="1">
      <x:c r="A28" s="1" t="str">
        <x:v>Capex retained in CWIP</x:v>
      </x:c>
      <x:c r="B28" s="1"/>
      <x:c r="C28" s="27"/>
      <x:c r="D28" s="27"/>
      <x:c r="E28" s="27"/>
      <x:c r="F28" s="27"/>
      <x:c r="G28" s="27"/>
      <x:c r="H28" s="38" t="n">
        <x:v>0.2</x:v>
      </x:c>
      <x:c r="I28" s="38" t="n">
        <x:v>0.2</x:v>
      </x:c>
      <x:c r="J28" s="38" t="n">
        <x:v>0.2</x:v>
      </x:c>
      <x:c r="K28" s="38" t="n">
        <x:v>0.2</x:v>
      </x:c>
      <x:c r="L28" s="38" t="n">
        <x:v>0.2</x:v>
      </x:c>
    </x:row>
    <x:row r="29" ht="19" customHeight="1">
      <x:c r="A29" s="1" t="str">
        <x:v>Opening CWIP commissioned</x:v>
      </x:c>
      <x:c r="B29" s="1"/>
      <x:c r="C29" s="27"/>
      <x:c r="D29" s="27"/>
      <x:c r="E29" s="27"/>
      <x:c r="F29" s="27"/>
      <x:c r="G29" s="27"/>
      <x:c r="H29" s="38" t="n">
        <x:v>0.5</x:v>
      </x:c>
      <x:c r="I29" s="38" t="n">
        <x:v>0.5</x:v>
      </x:c>
      <x:c r="J29" s="38" t="n">
        <x:v>0.5</x:v>
      </x:c>
      <x:c r="K29" s="38" t="n">
        <x:v>0.5</x:v>
      </x:c>
      <x:c r="L29" s="38" t="n">
        <x:v>0.5</x:v>
      </x:c>
    </x:row>
    <x:row r="30" ht="19" customHeight="1">
      <x:c r="A30" s="1" t="str">
        <x:v>Intangible amortisation rate</x:v>
      </x:c>
      <x:c r="B30" s="1"/>
      <x:c r="C30" s="27"/>
      <x:c r="D30" s="27"/>
      <x:c r="E30" s="27"/>
      <x:c r="F30" s="27"/>
      <x:c r="G30" s="27"/>
      <x:c r="H30" s="38" t="n">
        <x:v>0.2</x:v>
      </x:c>
      <x:c r="I30" s="38" t="n">
        <x:v>0.2</x:v>
      </x:c>
      <x:c r="J30" s="38" t="n">
        <x:v>0.2</x:v>
      </x:c>
      <x:c r="K30" s="38" t="n">
        <x:v>0.2</x:v>
      </x:c>
      <x:c r="L30" s="38" t="n">
        <x:v>0.2</x:v>
      </x:c>
    </x:row>
    <x:row r="31" ht="19" customHeight="1">
      <x:c r="A31" s="1" t="str">
        <x:v>Interest income / other income</x:v>
      </x:c>
      <x:c r="B31" s="1"/>
      <x:c r="C31" s="4"/>
      <x:c r="D31" s="4"/>
      <x:c r="E31" s="4"/>
      <x:c r="F31" s="4"/>
      <x:c r="G31" s="105" t="n">
        <x:f>'02_Raw_Financials'!G110/'02_Raw_Financials'!G9</x:f>
        <x:v>0.28694900605012963</x:v>
      </x:c>
      <x:c r="H31" s="104" t="n">
        <x:f>$G$31</x:f>
        <x:v>0.28694900605012963</x:v>
      </x:c>
      <x:c r="I31" s="104" t="n">
        <x:f>$G$31</x:f>
        <x:v>0.28694900605012963</x:v>
      </x:c>
      <x:c r="J31" s="104" t="n">
        <x:f>$G$31</x:f>
        <x:v>0.28694900605012963</x:v>
      </x:c>
      <x:c r="K31" s="104" t="n">
        <x:f>$G$31</x:f>
        <x:v>0.28694900605012963</x:v>
      </x:c>
      <x:c r="L31" s="104" t="n">
        <x:f>$G$31</x:f>
        <x:v>0.28694900605012963</x:v>
      </x:c>
    </x:row>
    <x:row r="32" ht="19" customHeight="1">
      <x:c r="A32" s="94" t="str">
        <x:v>Valuation and base-year inputs</x:v>
      </x:c>
      <x:c r="B32" s="94"/>
      <x:c r="C32" s="95"/>
      <x:c r="D32" s="95"/>
      <x:c r="E32" s="95"/>
      <x:c r="F32" s="95"/>
      <x:c r="G32" s="95"/>
      <x:c r="H32" s="95"/>
      <x:c r="I32" s="95"/>
      <x:c r="J32" s="95"/>
      <x:c r="K32" s="95"/>
      <x:c r="L32" s="95"/>
    </x:row>
    <x:row r="33" ht="19" customHeight="1">
      <x:c r="A33" s="1" t="str">
        <x:v>WACC</x:v>
      </x:c>
      <x:c r="B33" s="1"/>
      <x:c r="C33" s="4"/>
      <x:c r="D33" s="4"/>
      <x:c r="E33" s="4"/>
      <x:c r="F33" s="4"/>
      <x:c r="G33" s="38" t="n">
        <x:v>0.125</x:v>
      </x:c>
      <x:c r="H33" s="4"/>
      <x:c r="I33" s="4"/>
      <x:c r="J33" s="4"/>
      <x:c r="K33" s="4"/>
      <x:c r="L33" s="4"/>
    </x:row>
    <x:row r="34" ht="19" customHeight="1">
      <x:c r="A34" s="1" t="str">
        <x:v>Terminal growth</x:v>
      </x:c>
      <x:c r="B34" s="1"/>
      <x:c r="C34" s="4"/>
      <x:c r="D34" s="4"/>
      <x:c r="E34" s="4"/>
      <x:c r="F34" s="4"/>
      <x:c r="G34" s="38" t="n">
        <x:v>0.04</x:v>
      </x:c>
      <x:c r="H34" s="4"/>
      <x:c r="I34" s="4"/>
      <x:c r="J34" s="4"/>
      <x:c r="K34" s="4"/>
      <x:c r="L34" s="4"/>
    </x:row>
    <x:row r="35" ht="19" customHeight="1">
      <x:c r="A35" s="1" t="str">
        <x:v>Terminal return on invested capital</x:v>
      </x:c>
      <x:c r="B35" s="1"/>
      <x:c r="C35" s="4"/>
      <x:c r="D35" s="4"/>
      <x:c r="E35" s="4"/>
      <x:c r="F35" s="4"/>
      <x:c r="G35" s="38" t="n">
        <x:v>0.12</x:v>
      </x:c>
      <x:c r="H35" s="4"/>
      <x:c r="I35" s="4"/>
      <x:c r="J35" s="4"/>
      <x:c r="K35" s="4"/>
      <x:c r="L35" s="4"/>
    </x:row>
    <x:row r="36" ht="19" customHeight="1">
      <x:c r="A36" s="1" t="str">
        <x:v>Reference share price (INR)</x:v>
      </x:c>
      <x:c r="B36" s="1"/>
      <x:c r="C36" s="4"/>
      <x:c r="D36" s="4"/>
      <x:c r="E36" s="4"/>
      <x:c r="F36" s="4"/>
      <x:c r="G36" s="64" t="n">
        <x:v>766.75</x:v>
      </x:c>
      <x:c r="H36" s="4"/>
      <x:c r="I36" s="4"/>
      <x:c r="J36" s="4"/>
      <x:c r="K36" s="4"/>
      <x:c r="L36" s="4"/>
    </x:row>
    <x:row r="37" ht="19" customHeight="1">
      <x:c r="A37" s="1" t="str">
        <x:v>Price date</x:v>
      </x:c>
      <x:c r="B37" s="1"/>
      <x:c r="C37" s="4"/>
      <x:c r="D37" s="4"/>
      <x:c r="E37" s="4"/>
      <x:c r="F37" s="4"/>
      <x:c r="G37" s="32" t="str">
        <x:v>Not supplied in Screener export</x:v>
      </x:c>
      <x:c r="H37" s="32"/>
      <x:c r="I37" s="32"/>
      <x:c r="J37" s="32"/>
      <x:c r="K37" s="32"/>
      <x:c r="L37" s="32"/>
    </x:row>
    <x:row r="38" ht="19" customHeight="1">
      <x:c r="A38" s="1" t="str">
        <x:v>Valuation reference date</x:v>
      </x:c>
      <x:c r="B38" s="1"/>
      <x:c r="C38" s="4"/>
      <x:c r="D38" s="4"/>
      <x:c r="E38" s="4"/>
      <x:c r="F38" s="4"/>
      <x:c r="G38" s="65" t="n">
        <x:v>46112</x:v>
      </x:c>
      <x:c r="H38" s="4"/>
      <x:c r="I38" s="4"/>
      <x:c r="J38" s="4"/>
      <x:c r="K38" s="4"/>
      <x:c r="L38" s="4"/>
    </x:row>
    <x:row r="39" ht="19" customHeight="1">
      <x:c r="A39" s="1" t="str">
        <x:v>Information reviewed through</x:v>
      </x:c>
      <x:c r="B39" s="1"/>
      <x:c r="C39" s="4"/>
      <x:c r="D39" s="4"/>
      <x:c r="E39" s="4"/>
      <x:c r="F39" s="4"/>
      <x:c r="G39" s="65" t="n">
        <x:v>46284</x:v>
      </x:c>
      <x:c r="H39" s="4"/>
      <x:c r="I39" s="4"/>
      <x:c r="J39" s="4"/>
      <x:c r="K39" s="4"/>
      <x:c r="L39" s="4"/>
    </x:row>
    <x:row r="40" ht="19" customHeight="1">
      <x:c r="A40" s="1" t="str">
        <x:v>FY2026 plastics revenue</x:v>
      </x:c>
      <x:c r="B40" s="1"/>
      <x:c r="C40" s="4"/>
      <x:c r="D40" s="4"/>
      <x:c r="E40" s="4"/>
      <x:c r="F40" s="4"/>
      <x:c r="G40" s="24" t="n">
        <x:v>924</x:v>
      </x:c>
      <x:c r="H40" s="4"/>
      <x:c r="I40" s="4"/>
      <x:c r="J40" s="4"/>
      <x:c r="K40" s="4"/>
      <x:c r="L40" s="4"/>
    </x:row>
    <x:row r="41" ht="19" customHeight="1">
      <x:c r="A41" s="1" t="str">
        <x:v>Exited plastics business revenue</x:v>
      </x:c>
      <x:c r="B41" s="1"/>
      <x:c r="C41" s="4"/>
      <x:c r="D41" s="4"/>
      <x:c r="E41" s="4"/>
      <x:c r="F41" s="4"/>
      <x:c r="G41" s="24" t="n">
        <x:v>65</x:v>
      </x:c>
      <x:c r="H41" s="4"/>
      <x:c r="I41" s="4"/>
      <x:c r="J41" s="4"/>
      <x:c r="K41" s="4"/>
      <x:c r="L41" s="4"/>
    </x:row>
    <x:row r="42" ht="19" customHeight="1">
      <x:c r="A42" s="1" t="str">
        <x:v>ROU depreciation per year</x:v>
      </x:c>
      <x:c r="B42" s="1"/>
      <x:c r="C42" s="4"/>
      <x:c r="D42" s="4"/>
      <x:c r="E42" s="4"/>
      <x:c r="F42" s="4"/>
      <x:c r="G42" s="24" t="n">
        <x:v>6</x:v>
      </x:c>
      <x:c r="H42" s="4"/>
      <x:c r="I42" s="4"/>
      <x:c r="J42" s="4"/>
      <x:c r="K42" s="4"/>
      <x:c r="L42" s="4"/>
    </x:row>
    <x:row r="43" ht="19" customHeight="1">
      <x:c r="A43" s="1" t="str">
        <x:v>Goodwill amortisation per year</x:v>
      </x:c>
      <x:c r="B43" s="1"/>
      <x:c r="C43" s="4"/>
      <x:c r="D43" s="4"/>
      <x:c r="E43" s="4"/>
      <x:c r="F43" s="4"/>
      <x:c r="G43" s="64" t="n">
        <x:v>9.93</x:v>
      </x:c>
      <x:c r="H43" s="4"/>
      <x:c r="I43" s="4"/>
      <x:c r="J43" s="4"/>
      <x:c r="K43" s="4"/>
      <x:c r="L43" s="4"/>
    </x:row>
    <x:row r="44" ht="19" customHeight="1">
      <x:c r="A44" s="1" t="str">
        <x:v>Non-amortising acquired goodwill</x:v>
      </x:c>
      <x:c r="B44" s="1"/>
      <x:c r="C44" s="4"/>
      <x:c r="D44" s="4"/>
      <x:c r="E44" s="4"/>
      <x:c r="F44" s="4"/>
      <x:c r="G44" s="64" t="n">
        <x:v>2.05</x:v>
      </x:c>
      <x:c r="H44" s="4"/>
      <x:c r="I44" s="4"/>
      <x:c r="J44" s="4"/>
      <x:c r="K44" s="4"/>
      <x:c r="L44" s="4"/>
    </x:row>
    <x:row r="45" ht="19" customHeight="1">
      <x:c r="A45" s="1"/>
      <x:c r="B45" s="1"/>
      <x:c r="C45" s="4"/>
      <x:c r="D45" s="4"/>
      <x:c r="E45" s="4"/>
      <x:c r="F45" s="4"/>
      <x:c r="G45" s="4"/>
      <x:c r="H45" s="4"/>
      <x:c r="I45" s="4"/>
      <x:c r="J45" s="4"/>
      <x:c r="K45" s="4"/>
      <x:c r="L45" s="4"/>
    </x:row>
    <x:row r="46" ht="19" customHeight="1">
      <x:c r="A46" s="1"/>
      <x:c r="B46" s="1"/>
      <x:c r="C46" s="4"/>
      <x:c r="D46" s="4"/>
      <x:c r="E46" s="4"/>
      <x:c r="F46" s="4"/>
      <x:c r="G46" s="4"/>
      <x:c r="H46" s="4"/>
      <x:c r="I46" s="4"/>
      <x:c r="J46" s="4"/>
      <x:c r="K46" s="4"/>
      <x:c r="L46" s="4"/>
    </x:row>
    <x:row r="47" ht="32" customHeight="1">
      <x:c r="A47" s="62" t="str">
        <x:v>Analyst base case: modest growth, operating margin below 12%, no acquisitions or demerger uplift, and funding drawn only when needed.</x:v>
      </x:c>
      <x:c r="B47" s="62"/>
      <x:c r="C47" s="63"/>
      <x:c r="D47" s="63"/>
      <x:c r="E47" s="63"/>
      <x:c r="F47" s="63"/>
      <x:c r="G47" s="63"/>
      <x:c r="H47" s="63"/>
      <x:c r="I47" s="63"/>
      <x:c r="J47" s="63"/>
      <x:c r="K47" s="63"/>
      <x:c r="L47" s="63"/>
    </x:row>
    <x:row r="48" ht="19" customHeight="1">
      <x:c r="A48" s="1"/>
      <x:c r="B48" s="1"/>
      <x:c r="C48" s="4"/>
      <x:c r="D48" s="4"/>
      <x:c r="E48" s="4"/>
      <x:c r="F48" s="4"/>
      <x:c r="G48" s="4"/>
      <x:c r="H48" s="4"/>
      <x:c r="I48" s="4"/>
      <x:c r="J48" s="4"/>
      <x:c r="K48" s="4"/>
      <x:c r="L48" s="4"/>
    </x:row>
    <x:row r="49" ht="32" customHeight="1">
      <x:c r="A49" s="62" t="str">
        <x:v>Management commentary (August 2026): INR 700 crore capex over 18–24 months, including about INR 400 crore in polymers.</x:v>
      </x:c>
      <x:c r="B49" s="62"/>
      <x:c r="C49" s="63"/>
      <x:c r="D49" s="63"/>
      <x:c r="E49" s="63"/>
      <x:c r="F49" s="63"/>
      <x:c r="G49" s="63"/>
      <x:c r="H49" s="63"/>
      <x:c r="I49" s="63"/>
      <x:c r="J49" s="63"/>
      <x:c r="K49" s="63"/>
      <x:c r="L49" s="63"/>
    </x:row>
    <x:row r="50" ht="19" customHeight="1">
      <x:c r="A50" s="1"/>
      <x:c r="B50" s="1"/>
      <x:c r="C50" s="4"/>
      <x:c r="D50" s="4"/>
      <x:c r="E50" s="4"/>
      <x:c r="F50" s="4"/>
      <x:c r="G50" s="4"/>
      <x:c r="H50" s="4"/>
      <x:c r="I50" s="4"/>
      <x:c r="J50" s="4"/>
      <x:c r="K50" s="4"/>
      <x:c r="L50" s="4"/>
    </x:row>
    <x:row r="51" ht="32" customHeight="1">
      <x:c r="A51" s="62" t="str">
        <x:v>Management commentary (May/August 2026): plastics capacity is constrained; stronger growth follows new capacity. INR 65 crore of foaming revenue has exited.</x:v>
      </x:c>
      <x:c r="B51" s="62"/>
      <x:c r="C51" s="63"/>
      <x:c r="D51" s="63"/>
      <x:c r="E51" s="63"/>
      <x:c r="F51" s="63"/>
      <x:c r="G51" s="63"/>
      <x:c r="H51" s="63"/>
      <x:c r="I51" s="63"/>
      <x:c r="J51" s="63"/>
      <x:c r="K51" s="63"/>
      <x:c r="L51" s="63"/>
    </x:row>
    <x:row r="52" ht="19" customHeight="1">
      <x:c r="A52" s="1"/>
      <x:c r="B52" s="1"/>
      <x:c r="C52" s="4"/>
      <x:c r="D52" s="4"/>
      <x:c r="E52" s="4"/>
      <x:c r="F52" s="4"/>
      <x:c r="G52" s="4"/>
      <x:c r="H52" s="4"/>
      <x:c r="I52" s="4"/>
      <x:c r="J52" s="4"/>
      <x:c r="K52" s="4"/>
      <x:c r="L52" s="4"/>
    </x:row>
    <x:row r="53" ht="32" customHeight="1">
      <x:c r="A53" s="62" t="str">
        <x:v>Management commentary (August 2026): a 12.5–13% blended EBITDA margin is sought. Model operating EBITDA excludes other income and OCI; definitions differ.</x:v>
      </x:c>
      <x:c r="B53" s="62"/>
      <x:c r="C53" s="63"/>
      <x:c r="D53" s="63"/>
      <x:c r="E53" s="63"/>
      <x:c r="F53" s="63"/>
      <x:c r="G53" s="63"/>
      <x:c r="H53" s="63"/>
      <x:c r="I53" s="63"/>
      <x:c r="J53" s="63"/>
      <x:c r="K53" s="63"/>
      <x:c r="L53" s="63"/>
    </x:row>
    <x:row r="54" ht="19" customHeight="1">
      <x:c r="A54" s="1"/>
      <x:c r="B54" s="1"/>
      <x:c r="C54" s="4"/>
      <x:c r="D54" s="4"/>
      <x:c r="E54" s="4"/>
      <x:c r="F54" s="4"/>
      <x:c r="G54" s="4"/>
      <x:c r="H54" s="4"/>
      <x:c r="I54" s="4"/>
      <x:c r="J54" s="4"/>
      <x:c r="K54" s="4"/>
      <x:c r="L54" s="4"/>
    </x:row>
    <x:row r="55" ht="32" customHeight="1">
      <x:c r="A55" s="62" t="str">
        <x:v>WACC 12.5%, terminal growth 4% and terminal ROIC 12% are valuation assumptions, not management guidance. Terminal reinvestment equals growth / ROIC.</x:v>
      </x:c>
      <x:c r="B55" s="62"/>
      <x:c r="C55" s="63"/>
      <x:c r="D55" s="63"/>
      <x:c r="E55" s="63"/>
      <x:c r="F55" s="63"/>
      <x:c r="G55" s="63"/>
      <x:c r="H55" s="63"/>
      <x:c r="I55" s="63"/>
      <x:c r="J55" s="63"/>
      <x:c r="K55" s="63"/>
      <x:c r="L55" s="63"/>
    </x:row>
    <x:row r="56" ht="19" customHeight="1">
      <x:c r="A56" s="1"/>
      <x:c r="B56" s="1"/>
      <x:c r="C56" s="4"/>
      <x:c r="D56" s="4"/>
      <x:c r="E56" s="4"/>
      <x:c r="F56" s="4"/>
      <x:c r="G56" s="4"/>
      <x:c r="H56" s="4"/>
      <x:c r="I56" s="4"/>
      <x:c r="J56" s="4"/>
      <x:c r="K56" s="4"/>
      <x:c r="L56" s="4"/>
    </x:row>
    <x:row r="57" ht="32" customHeight="1">
      <x:c r="A57" s="62" t="str">
        <x:v>Valuation is anchored to FY2026 closing balances and uses subsequent management commentary. It is not a point-in-time backtest or a live market valuation.</x:v>
      </x:c>
      <x:c r="B57" s="62"/>
      <x:c r="C57" s="63"/>
      <x:c r="D57" s="63"/>
      <x:c r="E57" s="63"/>
      <x:c r="F57" s="63"/>
      <x:c r="G57" s="63"/>
      <x:c r="H57" s="63"/>
      <x:c r="I57" s="63"/>
      <x:c r="J57" s="63"/>
      <x:c r="K57" s="63"/>
      <x:c r="L57" s="63"/>
    </x:row>
    <x:row r="58" ht="19" customHeight="1">
      <x:c r="A58" s="1"/>
      <x:c r="B58" s="1"/>
      <x:c r="C58" s="4"/>
      <x:c r="D58" s="4"/>
      <x:c r="E58" s="4"/>
      <x:c r="F58" s="4"/>
      <x:c r="G58" s="4"/>
      <x:c r="H58" s="4"/>
      <x:c r="I58" s="4"/>
      <x:c r="J58" s="4"/>
      <x:c r="K58" s="4"/>
      <x:c r="L58" s="4"/>
    </x:row>
    <x:row r="59" ht="32" customHeight="1">
      <x:c r="A59" s="62" t="str">
        <x:v>Reference price: Pricol Ltd.xlsx, Screener Data Sheet. Quote date unavailable. Reverse DCF is conditional on this editable reference price.</x:v>
      </x:c>
      <x:c r="B59" s="62"/>
      <x:c r="C59" s="63"/>
      <x:c r="D59" s="63"/>
      <x:c r="E59" s="63"/>
      <x:c r="F59" s="63"/>
      <x:c r="G59" s="63"/>
      <x:c r="H59" s="63"/>
      <x:c r="I59" s="63"/>
      <x:c r="J59" s="63"/>
      <x:c r="K59" s="63"/>
      <x:c r="L59" s="63"/>
    </x:row>
    <x:row r="60" ht="19" customHeight="1">
      <x:c r="A60" s="1"/>
      <x:c r="B60" s="1"/>
      <x:c r="C60" s="4"/>
      <x:c r="D60" s="4"/>
      <x:c r="E60" s="4"/>
      <x:c r="F60" s="4"/>
      <x:c r="G60" s="4"/>
      <x:c r="H60" s="4"/>
      <x:c r="I60" s="4"/>
      <x:c r="J60" s="4"/>
      <x:c r="K60" s="4"/>
      <x:c r="L60" s="4"/>
    </x:row>
    <x:row r="61" ht="32" customHeight="1">
      <x:c r="A61" s="62" t="str">
        <x:v>Interest income uses its FY2026 share of other income. Interest paid is financing cash flow; interest received is investing cash flow.</x:v>
      </x:c>
      <x:c r="B61" s="62"/>
      <x:c r="C61" s="63"/>
      <x:c r="D61" s="63"/>
      <x:c r="E61" s="63"/>
      <x:c r="F61" s="63"/>
      <x:c r="G61" s="63"/>
      <x:c r="H61" s="63"/>
      <x:c r="I61" s="63"/>
      <x:c r="J61" s="63"/>
      <x:c r="K61" s="63"/>
      <x:c r="L61" s="63"/>
    </x:row>
    <x:row r="62" ht="19" customHeight="1">
      <x:c r="A62" s="1"/>
      <x:c r="B62" s="1"/>
      <x:c r="C62" s="4"/>
      <x:c r="D62" s="4"/>
      <x:c r="E62" s="4"/>
      <x:c r="F62" s="4"/>
      <x:c r="G62" s="4"/>
      <x:c r="H62" s="4"/>
      <x:c r="I62" s="4"/>
      <x:c r="J62" s="4"/>
      <x:c r="K62" s="4"/>
      <x:c r="L62" s="4"/>
    </x:row>
    <x:row r="63" ht="19" customHeight="1">
      <x:c r="A63" s="1"/>
      <x:c r="B63" s="1"/>
      <x:c r="C63" s="4"/>
      <x:c r="D63" s="4"/>
      <x:c r="E63" s="4"/>
      <x:c r="F63" s="4"/>
      <x:c r="G63" s="4"/>
      <x:c r="H63" s="4"/>
      <x:c r="I63" s="4"/>
      <x:c r="J63" s="4"/>
      <x:c r="K63" s="4"/>
      <x:c r="L63" s="4"/>
    </x:row>
    <x:row r="64" ht="19" customHeight="1">
      <x:c r="A64" s="1"/>
      <x:c r="B64" s="1"/>
      <x:c r="C64" s="4"/>
      <x:c r="D64" s="4"/>
      <x:c r="E64" s="4"/>
      <x:c r="F64" s="4"/>
      <x:c r="G64" s="4"/>
      <x:c r="H64" s="4"/>
      <x:c r="I64" s="4"/>
      <x:c r="J64" s="4"/>
      <x:c r="K64" s="4"/>
      <x:c r="L64" s="4"/>
    </x:row>
    <x:row r="65" ht="19" customHeight="1">
      <x:c r="A65" s="1"/>
      <x:c r="B65" s="1"/>
      <x:c r="C65" s="4"/>
      <x:c r="D65" s="4"/>
      <x:c r="E65" s="4"/>
      <x:c r="F65" s="4"/>
      <x:c r="G65" s="4"/>
      <x:c r="H65" s="4"/>
      <x:c r="I65" s="4"/>
      <x:c r="J65" s="4"/>
      <x:c r="K65" s="4"/>
      <x:c r="L65" s="4"/>
    </x:row>
    <x:row r="66" ht="19" customHeight="1">
      <x:c r="A66" s="1"/>
      <x:c r="B66" s="1"/>
      <x:c r="C66" s="4"/>
      <x:c r="D66" s="4"/>
      <x:c r="E66" s="4"/>
      <x:c r="F66" s="4"/>
      <x:c r="G66" s="4"/>
      <x:c r="H66" s="4"/>
      <x:c r="I66" s="4"/>
      <x:c r="J66" s="4"/>
      <x:c r="K66" s="4"/>
      <x:c r="L66" s="4"/>
    </x:row>
    <x:row r="67" ht="19" customHeight="1">
      <x:c r="A67" s="1"/>
      <x:c r="B67" s="1"/>
      <x:c r="C67" s="4"/>
      <x:c r="D67" s="4"/>
      <x:c r="E67" s="4"/>
      <x:c r="F67" s="4"/>
      <x:c r="G67" s="4"/>
      <x:c r="H67" s="4"/>
      <x:c r="I67" s="4"/>
      <x:c r="J67" s="4"/>
      <x:c r="K67" s="4"/>
      <x:c r="L67" s="4"/>
    </x:row>
    <x:row r="68" ht="19" customHeight="1">
      <x:c r="A68" s="1"/>
      <x:c r="B68" s="1"/>
      <x:c r="C68" s="4"/>
      <x:c r="D68" s="4"/>
      <x:c r="E68" s="4"/>
      <x:c r="F68" s="4"/>
      <x:c r="G68" s="4"/>
      <x:c r="H68" s="4"/>
      <x:c r="I68" s="4"/>
      <x:c r="J68" s="4"/>
      <x:c r="K68" s="4"/>
      <x:c r="L68" s="4"/>
    </x:row>
    <x:row r="69" ht="19" customHeight="1">
      <x:c r="A69" s="1"/>
      <x:c r="B69" s="1"/>
      <x:c r="C69" s="4"/>
      <x:c r="D69" s="4"/>
      <x:c r="E69" s="4"/>
      <x:c r="F69" s="4"/>
      <x:c r="G69" s="4"/>
      <x:c r="H69" s="4"/>
      <x:c r="I69" s="4"/>
      <x:c r="J69" s="4"/>
      <x:c r="K69" s="4"/>
      <x:c r="L69" s="4"/>
    </x:row>
    <x:row r="70" ht="19" customHeight="1">
      <x:c r="A70" s="1"/>
      <x:c r="B70" s="1"/>
      <x:c r="C70" s="4"/>
      <x:c r="D70" s="4"/>
      <x:c r="E70" s="4"/>
      <x:c r="F70" s="4"/>
      <x:c r="G70" s="4"/>
      <x:c r="H70" s="4"/>
      <x:c r="I70" s="4"/>
      <x:c r="J70" s="4"/>
      <x:c r="K70" s="4"/>
      <x:c r="L70" s="4"/>
    </x:row>
    <x:row r="71" ht="19" customHeight="1">
      <x:c r="A71" s="1"/>
      <x:c r="B71" s="1"/>
      <x:c r="C71" s="4"/>
      <x:c r="D71" s="4"/>
      <x:c r="E71" s="4"/>
      <x:c r="F71" s="4"/>
      <x:c r="G71" s="4"/>
      <x:c r="H71" s="4"/>
      <x:c r="I71" s="4"/>
      <x:c r="J71" s="4"/>
      <x:c r="K71" s="4"/>
      <x:c r="L71" s="4"/>
    </x:row>
    <x:row r="72" ht="19" customHeight="1">
      <x:c r="A72" s="1"/>
      <x:c r="B72" s="1"/>
      <x:c r="C72" s="4"/>
      <x:c r="D72" s="4"/>
      <x:c r="E72" s="4"/>
      <x:c r="F72" s="4"/>
      <x:c r="G72" s="4"/>
      <x:c r="H72" s="4"/>
      <x:c r="I72" s="4"/>
      <x:c r="J72" s="4"/>
      <x:c r="K72" s="4"/>
      <x:c r="L72" s="4"/>
    </x:row>
    <x:row r="73" ht="19" customHeight="1">
      <x:c r="A73" s="1"/>
      <x:c r="B73" s="1"/>
      <x:c r="C73" s="4"/>
      <x:c r="D73" s="4"/>
      <x:c r="E73" s="4"/>
      <x:c r="F73" s="4"/>
      <x:c r="G73" s="4"/>
      <x:c r="H73" s="4"/>
      <x:c r="I73" s="4"/>
      <x:c r="J73" s="4"/>
      <x:c r="K73" s="4"/>
      <x:c r="L73" s="4"/>
    </x:row>
    <x:row r="74" ht="19" customHeight="1">
      <x:c r="A74" s="1"/>
      <x:c r="B74" s="1"/>
      <x:c r="C74" s="4"/>
      <x:c r="D74" s="4"/>
      <x:c r="E74" s="4"/>
      <x:c r="F74" s="4"/>
      <x:c r="G74" s="4"/>
      <x:c r="H74" s="4"/>
      <x:c r="I74" s="4"/>
      <x:c r="J74" s="4"/>
      <x:c r="K74" s="4"/>
      <x:c r="L74" s="4"/>
    </x:row>
    <x:row r="75" ht="19" customHeight="1">
      <x:c r="A75" s="1"/>
      <x:c r="B75" s="1"/>
      <x:c r="C75" s="4"/>
      <x:c r="D75" s="4"/>
      <x:c r="E75" s="4"/>
      <x:c r="F75" s="4"/>
      <x:c r="G75" s="4"/>
      <x:c r="H75" s="4"/>
      <x:c r="I75" s="4"/>
      <x:c r="J75" s="4"/>
      <x:c r="K75" s="4"/>
      <x:c r="L75" s="4"/>
    </x:row>
    <x:row r="76" ht="19" customHeight="1">
      <x:c r="A76" s="1"/>
      <x:c r="B76" s="1"/>
      <x:c r="C76" s="4"/>
      <x:c r="D76" s="4"/>
      <x:c r="E76" s="4"/>
      <x:c r="F76" s="4"/>
      <x:c r="G76" s="4"/>
      <x:c r="H76" s="4"/>
      <x:c r="I76" s="4"/>
      <x:c r="J76" s="4"/>
      <x:c r="K76" s="4"/>
      <x:c r="L76" s="4"/>
    </x:row>
    <x:row r="77" ht="19" customHeight="1">
      <x:c r="A77" s="1"/>
      <x:c r="B77" s="1"/>
      <x:c r="C77" s="4"/>
      <x:c r="D77" s="4"/>
      <x:c r="E77" s="4"/>
      <x:c r="F77" s="4"/>
      <x:c r="G77" s="4"/>
      <x:c r="H77" s="4"/>
      <x:c r="I77" s="4"/>
      <x:c r="J77" s="4"/>
      <x:c r="K77" s="4"/>
      <x:c r="L77" s="4"/>
    </x:row>
    <x:row r="78" ht="19" customHeight="1">
      <x:c r="A78" s="1"/>
      <x:c r="B78" s="1"/>
      <x:c r="C78" s="4"/>
      <x:c r="D78" s="4"/>
      <x:c r="E78" s="4"/>
      <x:c r="F78" s="4"/>
      <x:c r="G78" s="4"/>
      <x:c r="H78" s="4"/>
      <x:c r="I78" s="4"/>
      <x:c r="J78" s="4"/>
      <x:c r="K78" s="4"/>
      <x:c r="L78" s="4"/>
    </x:row>
    <x:row r="79" ht="19" customHeight="1">
      <x:c r="A79" s="1"/>
      <x:c r="B79" s="1"/>
      <x:c r="C79" s="4"/>
      <x:c r="D79" s="4"/>
      <x:c r="E79" s="4"/>
      <x:c r="F79" s="4"/>
      <x:c r="G79" s="4"/>
      <x:c r="H79" s="4"/>
      <x:c r="I79" s="4"/>
      <x:c r="J79" s="4"/>
      <x:c r="K79" s="4"/>
      <x:c r="L79" s="4"/>
    </x:row>
    <x:row r="80" ht="19" customHeight="1">
      <x:c r="A80" s="1"/>
      <x:c r="B80" s="1"/>
      <x:c r="C80" s="4"/>
      <x:c r="D80" s="4"/>
      <x:c r="E80" s="4"/>
      <x:c r="F80" s="4"/>
      <x:c r="G80" s="4"/>
      <x:c r="H80" s="4"/>
      <x:c r="I80" s="4"/>
      <x:c r="J80" s="4"/>
      <x:c r="K80" s="4"/>
      <x:c r="L80" s="4"/>
    </x:row>
    <x:row r="81" ht="19" customHeight="1">
      <x:c r="A81" s="1"/>
      <x:c r="B81" s="1"/>
      <x:c r="C81" s="4"/>
      <x:c r="D81" s="4"/>
      <x:c r="E81" s="4"/>
      <x:c r="F81" s="4"/>
      <x:c r="G81" s="4"/>
      <x:c r="H81" s="4"/>
      <x:c r="I81" s="4"/>
      <x:c r="J81" s="4"/>
      <x:c r="K81" s="4"/>
      <x:c r="L81" s="4"/>
    </x:row>
    <x:row r="82" ht="19" customHeight="1">
      <x:c r="A82" s="1"/>
      <x:c r="B82" s="1"/>
      <x:c r="C82" s="4"/>
      <x:c r="D82" s="4"/>
      <x:c r="E82" s="4"/>
      <x:c r="F82" s="4"/>
      <x:c r="G82" s="4"/>
      <x:c r="H82" s="4"/>
      <x:c r="I82" s="4"/>
      <x:c r="J82" s="4"/>
      <x:c r="K82" s="4"/>
      <x:c r="L82" s="4"/>
    </x:row>
    <x:row r="83" ht="19" customHeight="1">
      <x:c r="A83" s="1"/>
      <x:c r="B83" s="1"/>
      <x:c r="C83" s="4"/>
      <x:c r="D83" s="4"/>
      <x:c r="E83" s="4"/>
      <x:c r="F83" s="4"/>
      <x:c r="G83" s="4"/>
      <x:c r="H83" s="4"/>
      <x:c r="I83" s="4"/>
      <x:c r="J83" s="4"/>
      <x:c r="K83" s="4"/>
      <x:c r="L83" s="4"/>
    </x:row>
    <x:row r="84" ht="19" customHeight="1">
      <x:c r="A84" s="1"/>
      <x:c r="B84" s="1"/>
      <x:c r="C84" s="4"/>
      <x:c r="D84" s="4"/>
      <x:c r="E84" s="4"/>
      <x:c r="F84" s="4"/>
      <x:c r="G84" s="4"/>
      <x:c r="H84" s="4"/>
      <x:c r="I84" s="4"/>
      <x:c r="J84" s="4"/>
      <x:c r="K84" s="4"/>
      <x:c r="L84" s="4"/>
    </x:row>
    <x:row r="85" ht="19" customHeight="1">
      <x:c r="A85" s="1"/>
      <x:c r="B85" s="1"/>
      <x:c r="C85" s="4"/>
      <x:c r="D85" s="4"/>
      <x:c r="E85" s="4"/>
      <x:c r="F85" s="4"/>
      <x:c r="G85" s="4"/>
      <x:c r="H85" s="4"/>
      <x:c r="I85" s="4"/>
      <x:c r="J85" s="4"/>
      <x:c r="K85" s="4"/>
      <x:c r="L85" s="4"/>
    </x:row>
    <x:row r="86" ht="19" customHeight="1">
      <x:c r="A86" s="1"/>
      <x:c r="B86" s="1"/>
      <x:c r="C86" s="4"/>
      <x:c r="D86" s="4"/>
      <x:c r="E86" s="4"/>
      <x:c r="F86" s="4"/>
      <x:c r="G86" s="4"/>
      <x:c r="H86" s="4"/>
      <x:c r="I86" s="4"/>
      <x:c r="J86" s="4"/>
      <x:c r="K86" s="4"/>
      <x:c r="L86" s="4"/>
    </x:row>
    <x:row r="87" ht="19" customHeight="1">
      <x:c r="A87" s="1"/>
      <x:c r="B87" s="1"/>
      <x:c r="C87" s="4"/>
      <x:c r="D87" s="4"/>
      <x:c r="E87" s="4"/>
      <x:c r="F87" s="4"/>
      <x:c r="G87" s="4"/>
      <x:c r="H87" s="4"/>
      <x:c r="I87" s="4"/>
      <x:c r="J87" s="4"/>
      <x:c r="K87" s="4"/>
      <x:c r="L87" s="4"/>
    </x:row>
    <x:row r="88" ht="19" customHeight="1">
      <x:c r="A88" s="1"/>
      <x:c r="B88" s="1"/>
      <x:c r="C88" s="4"/>
      <x:c r="D88" s="4"/>
      <x:c r="E88" s="4"/>
      <x:c r="F88" s="4"/>
      <x:c r="G88" s="4"/>
      <x:c r="H88" s="4"/>
      <x:c r="I88" s="4"/>
      <x:c r="J88" s="4"/>
      <x:c r="K88" s="4"/>
      <x:c r="L88" s="4"/>
    </x:row>
    <x:row r="89" ht="19" customHeight="1">
      <x:c r="A89" s="1"/>
      <x:c r="B89" s="1"/>
      <x:c r="C89" s="4"/>
      <x:c r="D89" s="4"/>
      <x:c r="E89" s="4"/>
      <x:c r="F89" s="4"/>
      <x:c r="G89" s="4"/>
      <x:c r="H89" s="4"/>
      <x:c r="I89" s="4"/>
      <x:c r="J89" s="4"/>
      <x:c r="K89" s="4"/>
      <x:c r="L89" s="4"/>
    </x:row>
    <x:row r="90" ht="19" customHeight="1">
      <x:c r="A90" s="1"/>
      <x:c r="B90" s="1"/>
      <x:c r="C90" s="4"/>
      <x:c r="D90" s="4"/>
      <x:c r="E90" s="4"/>
      <x:c r="F90" s="4"/>
      <x:c r="G90" s="4"/>
      <x:c r="H90" s="4"/>
      <x:c r="I90" s="4"/>
      <x:c r="J90" s="4"/>
      <x:c r="K90" s="4"/>
      <x:c r="L90" s="4"/>
    </x:row>
    <x:row r="91" ht="19" customHeight="1">
      <x:c r="A91" s="1"/>
      <x:c r="B91" s="1"/>
      <x:c r="C91" s="4"/>
      <x:c r="D91" s="4"/>
      <x:c r="E91" s="4"/>
      <x:c r="F91" s="4"/>
      <x:c r="G91" s="4"/>
      <x:c r="H91" s="4"/>
      <x:c r="I91" s="4"/>
      <x:c r="J91" s="4"/>
      <x:c r="K91" s="4"/>
      <x:c r="L91" s="4"/>
    </x:row>
    <x:row r="92" ht="19" customHeight="1">
      <x:c r="A92" s="1"/>
      <x:c r="B92" s="1"/>
      <x:c r="C92" s="4"/>
      <x:c r="D92" s="4"/>
      <x:c r="E92" s="4"/>
      <x:c r="F92" s="4"/>
      <x:c r="G92" s="4"/>
      <x:c r="H92" s="4"/>
      <x:c r="I92" s="4"/>
      <x:c r="J92" s="4"/>
      <x:c r="K92" s="4"/>
      <x:c r="L92" s="4"/>
    </x:row>
    <x:row r="93" ht="19" customHeight="1">
      <x:c r="A93" s="1"/>
      <x:c r="B93" s="1"/>
      <x:c r="C93" s="4"/>
      <x:c r="D93" s="4"/>
      <x:c r="E93" s="4"/>
      <x:c r="F93" s="4"/>
      <x:c r="G93" s="4"/>
      <x:c r="H93" s="4"/>
      <x:c r="I93" s="4"/>
      <x:c r="J93" s="4"/>
      <x:c r="K93" s="4"/>
      <x:c r="L93" s="4"/>
    </x:row>
    <x:row r="94" ht="19" customHeight="1">
      <x:c r="A94" s="1"/>
      <x:c r="B94" s="1"/>
      <x:c r="C94" s="4"/>
      <x:c r="D94" s="4"/>
      <x:c r="E94" s="4"/>
      <x:c r="F94" s="4"/>
      <x:c r="G94" s="4"/>
      <x:c r="H94" s="4"/>
      <x:c r="I94" s="4"/>
      <x:c r="J94" s="4"/>
      <x:c r="K94" s="4"/>
      <x:c r="L94" s="4"/>
    </x:row>
    <x:row r="95" ht="19" customHeight="1">
      <x:c r="A95" s="1"/>
      <x:c r="B95" s="1"/>
      <x:c r="C95" s="4"/>
      <x:c r="D95" s="4"/>
      <x:c r="E95" s="4"/>
      <x:c r="F95" s="4"/>
      <x:c r="G95" s="4"/>
      <x:c r="H95" s="4"/>
      <x:c r="I95" s="4"/>
      <x:c r="J95" s="4"/>
      <x:c r="K95" s="4"/>
      <x:c r="L95" s="4"/>
    </x:row>
    <x:row r="96" ht="19" customHeight="1">
      <x:c r="A96" s="1"/>
      <x:c r="B96" s="1"/>
      <x:c r="C96" s="4"/>
      <x:c r="D96" s="4"/>
      <x:c r="E96" s="4"/>
      <x:c r="F96" s="4"/>
      <x:c r="G96" s="4"/>
      <x:c r="H96" s="4"/>
      <x:c r="I96" s="4"/>
      <x:c r="J96" s="4"/>
      <x:c r="K96" s="4"/>
      <x:c r="L96" s="4"/>
    </x:row>
    <x:row r="97" ht="19" customHeight="1">
      <x:c r="A97" s="1"/>
      <x:c r="B97" s="1"/>
      <x:c r="C97" s="4"/>
      <x:c r="D97" s="4"/>
      <x:c r="E97" s="4"/>
      <x:c r="F97" s="4"/>
      <x:c r="G97" s="4"/>
      <x:c r="H97" s="4"/>
      <x:c r="I97" s="4"/>
      <x:c r="J97" s="4"/>
      <x:c r="K97" s="4"/>
      <x:c r="L97" s="4"/>
    </x:row>
    <x:row r="98" ht="19" customHeight="1">
      <x:c r="A98" s="1"/>
      <x:c r="B98" s="1"/>
      <x:c r="C98" s="4"/>
      <x:c r="D98" s="4"/>
      <x:c r="E98" s="4"/>
      <x:c r="F98" s="4"/>
      <x:c r="G98" s="4"/>
      <x:c r="H98" s="4"/>
      <x:c r="I98" s="4"/>
      <x:c r="J98" s="4"/>
      <x:c r="K98" s="4"/>
      <x:c r="L98" s="4"/>
    </x:row>
    <x:row r="99" ht="19" customHeight="1">
      <x:c r="A99" s="1"/>
      <x:c r="B99" s="1"/>
      <x:c r="C99" s="4"/>
      <x:c r="D99" s="4"/>
      <x:c r="E99" s="4"/>
      <x:c r="F99" s="4"/>
      <x:c r="G99" s="4"/>
      <x:c r="H99" s="4"/>
      <x:c r="I99" s="4"/>
      <x:c r="J99" s="4"/>
      <x:c r="K99" s="4"/>
      <x:c r="L99" s="4"/>
    </x:row>
    <x:row r="100" ht="19" customHeight="1">
      <x:c r="A100" s="1"/>
      <x:c r="B100" s="1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</x:row>
    <x:row r="101" ht="19" customHeight="1">
      <x:c r="A101" s="1"/>
      <x:c r="B101" s="1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</x:row>
    <x:row r="102" ht="19" customHeight="1">
      <x:c r="A102" s="1"/>
      <x:c r="B102" s="1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</x:row>
    <x:row r="103" ht="19" customHeight="1">
      <x:c r="A103" s="1"/>
      <x:c r="B103" s="1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</x:row>
    <x:row r="104" ht="19" customHeight="1">
      <x:c r="A104" s="1"/>
      <x:c r="B104" s="1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</x:row>
    <x:row r="105" ht="19" customHeight="1">
      <x:c r="A105" s="1"/>
      <x:c r="B105" s="1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</x:row>
    <x:row r="106" ht="19" customHeight="1">
      <x:c r="A106" s="1"/>
      <x:c r="B106" s="1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</x:row>
    <x:row r="107" ht="19" customHeight="1">
      <x:c r="A107" s="1"/>
      <x:c r="B107" s="1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</x:row>
    <x:row r="108" ht="19" customHeight="1">
      <x:c r="A108" s="1"/>
      <x:c r="B108" s="1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</x:row>
    <x:row r="109" ht="19" customHeight="1">
      <x:c r="A109" s="1"/>
      <x:c r="B109" s="1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</x:row>
    <x:row r="110" ht="19" customHeight="1">
      <x:c r="A110" s="1"/>
      <x:c r="B110" s="1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</x:row>
    <x:row r="111" ht="19" customHeight="1">
      <x:c r="A111" s="1"/>
      <x:c r="B111" s="1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</x:row>
    <x:row r="112" ht="19" customHeight="1">
      <x:c r="A112" s="1"/>
      <x:c r="B112" s="1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</x:row>
    <x:row r="113" ht="19" customHeight="1">
      <x:c r="A113" s="1"/>
      <x:c r="B113" s="1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</x:row>
    <x:row r="114" ht="19" customHeight="1">
      <x:c r="A114" s="1"/>
      <x:c r="B114" s="1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</x:row>
    <x:row r="115" ht="19" customHeight="1">
      <x:c r="A115" s="1"/>
      <x:c r="B115" s="1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</x:row>
    <x:row r="116" ht="19" customHeight="1">
      <x:c r="A116" s="1"/>
      <x:c r="B116" s="1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</x:row>
    <x:row r="117" ht="19" customHeight="1">
      <x:c r="A117" s="1"/>
      <x:c r="B117" s="1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</x:row>
    <x:row r="118" ht="19" customHeight="1">
      <x:c r="A118" s="1"/>
      <x:c r="B118" s="1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</x:row>
    <x:row r="119" ht="19" customHeight="1">
      <x:c r="A119" s="1"/>
      <x:c r="B119" s="1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</x:row>
    <x:row r="120" ht="19" customHeight="1">
      <x:c r="A120" s="1"/>
      <x:c r="B120" s="1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</x:row>
    <x:row r="121" ht="19" customHeight="1">
      <x:c r="A121" s="1"/>
      <x:c r="B121" s="1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</x:row>
    <x:row r="122" ht="19" customHeight="1">
      <x:c r="A122" s="1"/>
      <x:c r="B122" s="1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</x:row>
    <x:row r="123" ht="19" customHeight="1">
      <x:c r="A123" s="1"/>
      <x:c r="B123" s="1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</x:row>
    <x:row r="124" ht="19" customHeight="1">
      <x:c r="A124" s="1"/>
      <x:c r="B124" s="1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</x:row>
    <x:row r="125" ht="19" customHeight="1">
      <x:c r="A125" s="1"/>
      <x:c r="B125" s="1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</x:row>
  </x:sheetData>
  <x:mergeCells>
    <x:mergeCell ref="G37:L37"/>
    <x:mergeCell ref="A47:L47"/>
    <x:mergeCell ref="A49:L49"/>
    <x:mergeCell ref="A51:L51"/>
    <x:mergeCell ref="A53:L53"/>
    <x:mergeCell ref="A55:L55"/>
    <x:mergeCell ref="A57:L57"/>
    <x:mergeCell ref="A59:L59"/>
    <x:mergeCell ref="A61:L61"/>
  </x:mergeCells>
  <x:dataValidations count="24">
    <x:dataValidation type="decimal" operator="between" sqref="H8:L8">
      <x:formula1>-0.99</x:formula1>
      <x:formula2>1</x:formula2>
    </x:dataValidation>
    <x:dataValidation type="decimal" operator="between" sqref="H9:L9">
      <x:formula1>-0.99</x:formula1>
      <x:formula2>1</x:formula2>
    </x:dataValidation>
    <x:dataValidation type="decimal" operator="between" sqref="H10:L10">
      <x:formula1>0</x:formula1>
      <x:formula2>1</x:formula2>
    </x:dataValidation>
    <x:dataValidation type="decimal" operator="between" sqref="H14:L14">
      <x:formula1>0</x:formula1>
      <x:formula2>1</x:formula2>
    </x:dataValidation>
    <x:dataValidation type="decimal" operator="between" sqref="H15:L15">
      <x:formula1>0</x:formula1>
      <x:formula2>1</x:formula2>
    </x:dataValidation>
    <x:dataValidation type="decimal" operator="between" sqref="H20:L20">
      <x:formula1>0</x:formula1>
      <x:formula2>1</x:formula2>
    </x:dataValidation>
    <x:dataValidation type="decimal" operator="between" sqref="H22:L22">
      <x:formula1>0</x:formula1>
      <x:formula2>1</x:formula2>
    </x:dataValidation>
    <x:dataValidation type="decimal" operator="between" sqref="H23:L23">
      <x:formula1>0</x:formula1>
      <x:formula2>1</x:formula2>
    </x:dataValidation>
    <x:dataValidation type="decimal" operator="between" sqref="H26:L26">
      <x:formula1>0</x:formula1>
      <x:formula2>1</x:formula2>
    </x:dataValidation>
    <x:dataValidation type="decimal" operator="between" sqref="H27:L27">
      <x:formula1>0</x:formula1>
      <x:formula2>1</x:formula2>
    </x:dataValidation>
    <x:dataValidation type="decimal" operator="between" sqref="H28:L28">
      <x:formula1>0</x:formula1>
      <x:formula2>1</x:formula2>
    </x:dataValidation>
    <x:dataValidation type="decimal" operator="between" sqref="H29:L29">
      <x:formula1>0</x:formula1>
      <x:formula2>1</x:formula2>
    </x:dataValidation>
    <x:dataValidation type="decimal" operator="between" sqref="H30:L30">
      <x:formula1>0</x:formula1>
      <x:formula2>1</x:formula2>
    </x:dataValidation>
    <x:dataValidation type="decimal" operator="greaterThanOrEqual" sqref="H11:L11">
      <x:formula1>0</x:formula1>
    </x:dataValidation>
    <x:dataValidation type="decimal" operator="greaterThanOrEqual" sqref="H12:L12">
      <x:formula1>0</x:formula1>
    </x:dataValidation>
    <x:dataValidation type="decimal" operator="greaterThanOrEqual" sqref="H13:L13">
      <x:formula1>0</x:formula1>
    </x:dataValidation>
    <x:dataValidation type="decimal" operator="greaterThanOrEqual" sqref="H19:L19">
      <x:formula1>0</x:formula1>
    </x:dataValidation>
    <x:dataValidation type="decimal" operator="greaterThanOrEqual" sqref="H21:L21">
      <x:formula1>0</x:formula1>
    </x:dataValidation>
    <x:dataValidation type="decimal" operator="greaterThanOrEqual" sqref="H24:L24">
      <x:formula1>0</x:formula1>
    </x:dataValidation>
    <x:dataValidation type="decimal" operator="greaterThanOrEqual" sqref="H25:L25">
      <x:formula1>0</x:formula1>
    </x:dataValidation>
    <x:dataValidation type="decimal" operator="greaterThan" sqref="G33">
      <x:formula1>$G$34</x:formula1>
    </x:dataValidation>
    <x:dataValidation type="decimal" operator="between" sqref="G34">
      <x:formula1>0</x:formula1>
      <x:formula2>MIN($G$33-0.0001,$G$35-0.0001)</x:formula2>
    </x:dataValidation>
    <x:dataValidation type="decimal" operator="greaterThan" sqref="G35">
      <x:formula1>$G$34</x:formula1>
    </x:dataValidation>
    <x:dataValidation type="decimal" operator="greaterThan" sqref="G36">
      <x:formula1>0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F343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6" hidden="0" customWidth="1"/>
    <x:col min="2" max="2" width="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8" customHeight="1">
      <x:c r="A1" s="88" t="str">
        <x:v>Operating and Financing Schedules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</x:row>
    <x:row r="2" ht="19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9" customHeight="1">
      <x:c r="A3" s="1" t="str">
        <x:v>Pricol Limited | Consolidated | INR crore, except per-share data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19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19" customHeight="1">
      <x:c r="A5" s="91" t="str">
        <x:v>Metric</x:v>
      </x:c>
      <x:c r="B5" s="91"/>
      <x:c r="C5" s="91" t="str">
        <x:v>FY2022A</x:v>
      </x:c>
      <x:c r="D5" s="91" t="str">
        <x:v>FY2023A</x:v>
      </x:c>
      <x:c r="E5" s="91" t="str">
        <x:v>FY2024A</x:v>
      </x:c>
      <x:c r="F5" s="91" t="str">
        <x:v>FY2025A</x:v>
      </x:c>
      <x:c r="G5" s="91" t="str">
        <x:v>FY2026A</x:v>
      </x:c>
      <x:c r="H5" s="91" t="str">
        <x:v>FY2027E</x:v>
      </x:c>
      <x:c r="I5" s="91" t="str">
        <x:v>FY2028E</x:v>
      </x:c>
      <x:c r="J5" s="91" t="str">
        <x:v>FY2029E</x:v>
      </x:c>
      <x:c r="K5" s="91" t="str">
        <x:v>FY2030E</x:v>
      </x:c>
      <x:c r="L5" s="91" t="str">
        <x:v>FY2031E</x:v>
      </x:c>
    </x:row>
    <x:row r="6" ht="19" customHeight="1">
      <x:c r="A6" s="1"/>
      <x:c r="B6" s="1"/>
      <x:c r="C6" s="4"/>
      <x:c r="D6" s="4"/>
      <x:c r="E6" s="4"/>
      <x:c r="F6" s="4"/>
      <x:c r="G6" s="4"/>
      <x:c r="H6" s="4"/>
      <x:c r="I6" s="4"/>
      <x:c r="J6" s="4"/>
      <x:c r="K6" s="4"/>
      <x:c r="L6" s="4"/>
    </x:row>
    <x:row r="7" ht="19" customHeight="1">
      <x:c r="A7" s="94" t="str">
        <x:v>Revenue</x:v>
      </x:c>
      <x:c r="B7" s="94"/>
      <x:c r="C7" s="95"/>
      <x:c r="D7" s="95"/>
      <x:c r="E7" s="95"/>
      <x:c r="F7" s="95"/>
      <x:c r="G7" s="95"/>
      <x:c r="H7" s="95"/>
      <x:c r="I7" s="95"/>
      <x:c r="J7" s="95"/>
      <x:c r="K7" s="95"/>
      <x:c r="L7" s="95"/>
    </x:row>
    <x:row r="8" ht="19" customHeight="1">
      <x:c r="A8" s="1" t="str">
        <x:v>Core-business revenue</x:v>
      </x:c>
      <x:c r="B8" s="1"/>
      <x:c r="C8" s="4"/>
      <x:c r="D8" s="4"/>
      <x:c r="E8" s="4"/>
      <x:c r="F8" s="4"/>
      <x:c r="G8" s="4" t="n">
        <x:f>G10-G9</x:f>
        <x:v>3116.8</x:v>
      </x:c>
      <x:c r="H8" s="26" t="n">
        <x:f>G8*(1+'05_Assumptions'!H8)</x:f>
        <x:v>3490.8160000000007</x:v>
      </x:c>
      <x:c r="I8" s="26" t="n">
        <x:f>H8*(1+'05_Assumptions'!I8)</x:f>
        <x:v>3839.897600000001</x:v>
      </x:c>
      <x:c r="J8" s="26" t="n">
        <x:f>I8*(1+'05_Assumptions'!J8)</x:f>
        <x:v>4185.488384000001</x:v>
      </x:c>
      <x:c r="K8" s="26" t="n">
        <x:f>J8*(1+'05_Assumptions'!K8)</x:f>
        <x:v>4520.327454720002</x:v>
      </x:c>
      <x:c r="L8" s="26" t="n">
        <x:f>K8*(1+'05_Assumptions'!L8)</x:f>
        <x:v>4836.7503765504025</x:v>
      </x:c>
    </x:row>
    <x:row r="9" ht="19" customHeight="1">
      <x:c r="A9" s="1" t="str">
        <x:v>Plastics revenue</x:v>
      </x:c>
      <x:c r="B9" s="1"/>
      <x:c r="C9" s="4"/>
      <x:c r="D9" s="4"/>
      <x:c r="E9" s="4"/>
      <x:c r="F9" s="4"/>
      <x:c r="G9" s="26" t="n">
        <x:f>'05_Assumptions'!$G$40</x:f>
        <x:v>924</x:v>
      </x:c>
      <x:c r="H9" s="26" t="n">
        <x:f>(G9-'05_Assumptions'!$G$41)*(1+'05_Assumptions'!H9)</x:f>
        <x:v>901.95</x:v>
      </x:c>
      <x:c r="I9" s="26" t="n">
        <x:f>(H9)*(1+'05_Assumptions'!I9)</x:f>
        <x:v>1037.2425</x:v>
      </x:c>
      <x:c r="J9" s="26" t="n">
        <x:f>(I9)*(1+'05_Assumptions'!J9)</x:f>
        <x:v>1192.828875</x:v>
      </x:c>
      <x:c r="K9" s="26" t="n">
        <x:f>(J9)*(1+'05_Assumptions'!K9)</x:f>
        <x:v>1335.9683400000001</x:v>
      </x:c>
      <x:c r="L9" s="26" t="n">
        <x:f>(K9)*(1+'05_Assumptions'!L9)</x:f>
        <x:v>1469.5651740000003</x:v>
      </x:c>
    </x:row>
    <x:row r="10" ht="19" customHeight="1">
      <x:c r="A10" s="74" t="str">
        <x:v>Consolidated revenue</x:v>
      </x:c>
      <x:c r="B10" s="74"/>
      <x:c r="C10" s="80" t="n">
        <x:f>'02_Raw_Financials'!C8</x:f>
        <x:v>1544.6929</x:v>
      </x:c>
      <x:c r="D10" s="80" t="n">
        <x:f>'02_Raw_Financials'!D8</x:f>
        <x:v>1958.5607</x:v>
      </x:c>
      <x:c r="E10" s="80" t="n">
        <x:f>'02_Raw_Financials'!E8</x:f>
        <x:v>2271.7823</x:v>
      </x:c>
      <x:c r="F10" s="80" t="n">
        <x:f>'02_Raw_Financials'!F8</x:f>
        <x:v>2691.92</x:v>
      </x:c>
      <x:c r="G10" s="80" t="n">
        <x:f>'02_Raw_Financials'!G8</x:f>
        <x:v>4040.8</x:v>
      </x:c>
      <x:c r="H10" s="78" t="n">
        <x:f>SUM(H8:H9)</x:f>
        <x:v>4392.7660000000005</x:v>
      </x:c>
      <x:c r="I10" s="78" t="n">
        <x:f>SUM(I8:I9)</x:f>
        <x:v>4877.140100000001</x:v>
      </x:c>
      <x:c r="J10" s="78" t="n">
        <x:f>SUM(J8:J9)</x:f>
        <x:v>5378.317259000001</x:v>
      </x:c>
      <x:c r="K10" s="78" t="n">
        <x:f>SUM(K8:K9)</x:f>
        <x:v>5856.295794720002</x:v>
      </x:c>
      <x:c r="L10" s="78" t="n">
        <x:f>SUM(L8:L9)</x:f>
        <x:v>6306.315550550403</x:v>
      </x:c>
    </x:row>
    <x:row r="11" ht="19" customHeight="1">
      <x:c r="A11" s="1"/>
      <x:c r="B11" s="1"/>
      <x:c r="C11" s="4"/>
      <x:c r="D11" s="4"/>
      <x:c r="E11" s="4"/>
      <x:c r="F11" s="4"/>
      <x:c r="G11" s="4"/>
      <x:c r="H11" s="4"/>
      <x:c r="I11" s="4"/>
      <x:c r="J11" s="4"/>
      <x:c r="K11" s="4"/>
      <x:c r="L11" s="4"/>
    </x:row>
    <x:row r="12" ht="19" customHeight="1">
      <x:c r="A12" s="1"/>
      <x:c r="B12" s="1"/>
      <x:c r="C12" s="4"/>
      <x:c r="D12" s="4"/>
      <x:c r="E12" s="4"/>
      <x:c r="F12" s="4"/>
      <x:c r="G12" s="4"/>
      <x:c r="H12" s="4"/>
      <x:c r="I12" s="4"/>
      <x:c r="J12" s="4"/>
      <x:c r="K12" s="4"/>
      <x:c r="L12" s="4"/>
    </x:row>
    <x:row r="13" ht="19" customHeight="1">
      <x:c r="A13" s="94" t="str">
        <x:v>Working capital</x:v>
      </x:c>
      <x:c r="B13" s="94"/>
      <x:c r="C13" s="95"/>
      <x:c r="D13" s="95"/>
      <x:c r="E13" s="95"/>
      <x:c r="F13" s="95"/>
      <x:c r="G13" s="95"/>
      <x:c r="H13" s="95"/>
      <x:c r="I13" s="95"/>
      <x:c r="J13" s="95"/>
      <x:c r="K13" s="95"/>
      <x:c r="L13" s="95"/>
    </x:row>
    <x:row r="14" ht="19" customHeight="1">
      <x:c r="A14" s="1" t="str">
        <x:v>Inventories</x:v>
      </x:c>
      <x:c r="B14" s="1"/>
      <x:c r="C14" s="26" t="n">
        <x:f>'02_Raw_Financials'!C27</x:f>
        <x:v>236.4727</x:v>
      </x:c>
      <x:c r="D14" s="26" t="n">
        <x:f>'02_Raw_Financials'!D27</x:f>
        <x:v>271.6792</x:v>
      </x:c>
      <x:c r="E14" s="26" t="n">
        <x:f>'02_Raw_Financials'!E27</x:f>
        <x:v>320.265</x:v>
      </x:c>
      <x:c r="F14" s="26" t="n">
        <x:f>'02_Raw_Financials'!F27</x:f>
        <x:v>362.63</x:v>
      </x:c>
      <x:c r="G14" s="26" t="n">
        <x:f>'02_Raw_Financials'!G27</x:f>
        <x:v>539.33</x:v>
      </x:c>
      <x:c r="H14" s="26" t="n">
        <x:f>'07_Income_Statement'!H11*'05_Assumptions'!H11/365</x:f>
        <x:v>597.801295210959</x:v>
      </x:c>
      <x:c r="I14" s="26" t="n">
        <x:f>'07_Income_Statement'!I11*'05_Assumptions'!I11/365</x:f>
        <x:v>662.2220913863015</x:v>
      </x:c>
      <x:c r="J14" s="26" t="n">
        <x:f>'07_Income_Statement'!J11*'05_Assumptions'!J11/365</x:f>
        <x:v>728.6220049946085</x:v>
      </x:c>
      <x:c r="K14" s="26" t="n">
        <x:f>'07_Income_Statement'!K11*'05_Assumptions'!K11/365</x:f>
        <x:v>792.4771558707133</x:v>
      </x:c>
      <x:c r="L14" s="26" t="n">
        <x:f>'07_Income_Statement'!L11*'05_Assumptions'!L11/365</x:f>
        <x:v>853.3740758158507</x:v>
      </x:c>
    </x:row>
    <x:row r="15" ht="19" customHeight="1">
      <x:c r="A15" s="1" t="str">
        <x:v>Trade receivables</x:v>
      </x:c>
      <x:c r="B15" s="1"/>
      <x:c r="C15" s="26" t="n">
        <x:f>'02_Raw_Financials'!C28</x:f>
        <x:v>238.9208</x:v>
      </x:c>
      <x:c r="D15" s="26" t="n">
        <x:f>'02_Raw_Financials'!D28</x:f>
        <x:v>268.9791</x:v>
      </x:c>
      <x:c r="E15" s="26" t="n">
        <x:f>'02_Raw_Financials'!E28</x:f>
        <x:v>287.0407</x:v>
      </x:c>
      <x:c r="F15" s="26" t="n">
        <x:f>'02_Raw_Financials'!F28</x:f>
        <x:v>472.74</x:v>
      </x:c>
      <x:c r="G15" s="26" t="n">
        <x:f>'02_Raw_Financials'!G28</x:f>
        <x:v>577.8</x:v>
      </x:c>
      <x:c r="H15" s="26" t="n">
        <x:f>H10*'05_Assumptions'!H12/365</x:f>
        <x:v>637.853693150685</x:v>
      </x:c>
      <x:c r="I15" s="26" t="n">
        <x:f>I10*'05_Assumptions'!I12/365</x:f>
        <x:v>708.1874665753427</x:v>
      </x:c>
      <x:c r="J15" s="26" t="n">
        <x:f>J10*'05_Assumptions'!J12/365</x:f>
        <x:v>780.9611362383564</x:v>
      </x:c>
      <x:c r="K15" s="26" t="n">
        <x:f>K10*'05_Assumptions'!K12/365</x:f>
        <x:v>850.3662386853703</x:v>
      </x:c>
      <x:c r="L15" s="26" t="n">
        <x:f>L10*'05_Assumptions'!L12/365</x:f>
        <x:v>915.7115730936202</x:v>
      </x:c>
    </x:row>
    <x:row r="16" ht="19" customHeight="1">
      <x:c r="A16" s="1" t="str">
        <x:v>Trade payables</x:v>
      </x:c>
      <x:c r="B16" s="1"/>
      <x:c r="C16" s="26" t="n">
        <x:f>'02_Raw_Financials'!C43</x:f>
        <x:v>269.9445</x:v>
      </x:c>
      <x:c r="D16" s="26" t="n">
        <x:f>'02_Raw_Financials'!D43</x:f>
        <x:v>282.63030000000003</x:v>
      </x:c>
      <x:c r="E16" s="26" t="n">
        <x:f>'02_Raw_Financials'!E43</x:f>
        <x:v>325.8118</x:v>
      </x:c>
      <x:c r="F16" s="26" t="n">
        <x:f>'02_Raw_Financials'!F43</x:f>
        <x:v>379.88</x:v>
      </x:c>
      <x:c r="G16" s="26" t="n">
        <x:f>'02_Raw_Financials'!G43</x:f>
        <x:v>546.23</x:v>
      </x:c>
      <x:c r="H16" s="26" t="n">
        <x:f>'07_Income_Statement'!H11*'05_Assumptions'!H13/365</x:f>
        <x:v>597.801295210959</x:v>
      </x:c>
      <x:c r="I16" s="26" t="n">
        <x:f>'07_Income_Statement'!I11*'05_Assumptions'!I13/365</x:f>
        <x:v>662.2220913863015</x:v>
      </x:c>
      <x:c r="J16" s="26" t="n">
        <x:f>'07_Income_Statement'!J11*'05_Assumptions'!J13/365</x:f>
        <x:v>728.6220049946085</x:v>
      </x:c>
      <x:c r="K16" s="26" t="n">
        <x:f>'07_Income_Statement'!K11*'05_Assumptions'!K13/365</x:f>
        <x:v>792.4771558707133</x:v>
      </x:c>
      <x:c r="L16" s="26" t="n">
        <x:f>'07_Income_Statement'!L11*'05_Assumptions'!L13/365</x:f>
        <x:v>853.3740758158507</x:v>
      </x:c>
    </x:row>
    <x:row r="17" ht="19" customHeight="1">
      <x:c r="A17" s="74" t="str">
        <x:v>Operating working capital</x:v>
      </x:c>
      <x:c r="B17" s="74"/>
      <x:c r="C17" s="78" t="n">
        <x:f>SUM(C14:C15)-C16</x:f>
        <x:v>205.449</x:v>
      </x:c>
      <x:c r="D17" s="78" t="n">
        <x:f>SUM(D14:D15)-D16</x:f>
        <x:v>258.028</x:v>
      </x:c>
      <x:c r="E17" s="78" t="n">
        <x:f>SUM(E14:E15)-E16</x:f>
        <x:v>281.4939</x:v>
      </x:c>
      <x:c r="F17" s="78" t="n">
        <x:f>SUM(F14:F15)-F16</x:f>
        <x:v>455.49</x:v>
      </x:c>
      <x:c r="G17" s="78" t="n">
        <x:f>SUM(G14:G15)-G16</x:f>
        <x:v>570.9000000000001</x:v>
      </x:c>
      <x:c r="H17" s="78" t="n">
        <x:f>SUM(H14:H15)-H16</x:f>
        <x:v>637.853693150685</x:v>
      </x:c>
      <x:c r="I17" s="78" t="n">
        <x:f>SUM(I14:I15)-I16</x:f>
        <x:v>708.1874665753427</x:v>
      </x:c>
      <x:c r="J17" s="78" t="n">
        <x:f>SUM(J14:J15)-J16</x:f>
        <x:v>780.9611362383564</x:v>
      </x:c>
      <x:c r="K17" s="78" t="n">
        <x:f>SUM(K14:K15)-K16</x:f>
        <x:v>850.3662386853704</x:v>
      </x:c>
      <x:c r="L17" s="78" t="n">
        <x:f>SUM(L14:L15)-L16</x:f>
        <x:v>915.7115730936201</x:v>
      </x:c>
    </x:row>
    <x:row r="18" ht="19" customHeight="1">
      <x:c r="A18" s="1" t="str">
        <x:v>Change in operating working capital</x:v>
      </x:c>
      <x:c r="B18" s="1"/>
      <x:c r="C18" s="4"/>
      <x:c r="D18" s="4"/>
      <x:c r="E18" s="4"/>
      <x:c r="F18" s="4"/>
      <x:c r="G18" s="4"/>
      <x:c r="H18" s="4" t="n">
        <x:f>H17-G17</x:f>
        <x:v>66.9536931506849</x:v>
      </x:c>
      <x:c r="I18" s="4" t="n">
        <x:f>I17-H17</x:f>
        <x:v>70.33377342465769</x:v>
      </x:c>
      <x:c r="J18" s="4" t="n">
        <x:f>J17-I17</x:f>
        <x:v>72.77366966301372</x:v>
      </x:c>
      <x:c r="K18" s="4" t="n">
        <x:f>K17-J17</x:f>
        <x:v>69.40510244701397</x:v>
      </x:c>
      <x:c r="L18" s="4" t="n">
        <x:f>L17-K17</x:f>
        <x:v>65.34533440824976</x:v>
      </x:c>
    </x:row>
    <x:row r="19" ht="19" customHeight="1">
      <x:c r="A19" s="1"/>
      <x:c r="B19" s="1"/>
      <x:c r="C19" s="4"/>
      <x:c r="D19" s="4"/>
      <x:c r="E19" s="4"/>
      <x:c r="F19" s="4"/>
      <x:c r="G19" s="4"/>
      <x:c r="H19" s="4"/>
      <x:c r="I19" s="4"/>
      <x:c r="J19" s="4"/>
      <x:c r="K19" s="4"/>
      <x:c r="L19" s="4"/>
    </x:row>
    <x:row r="20" ht="19" customHeight="1">
      <x:c r="A20" s="1"/>
      <x:c r="B20" s="1"/>
      <x:c r="C20" s="4"/>
      <x:c r="D20" s="4"/>
      <x:c r="E20" s="4"/>
      <x:c r="F20" s="4"/>
      <x:c r="G20" s="4"/>
      <x:c r="H20" s="4"/>
      <x:c r="I20" s="4"/>
      <x:c r="J20" s="4"/>
      <x:c r="K20" s="4"/>
      <x:c r="L20" s="4"/>
    </x:row>
    <x:row r="21" ht="19" customHeight="1">
      <x:c r="A21" s="94" t="str">
        <x:v>Fixed assets</x:v>
      </x:c>
      <x:c r="B21" s="94"/>
      <x:c r="C21" s="95"/>
      <x:c r="D21" s="95"/>
      <x:c r="E21" s="95"/>
      <x:c r="F21" s="95"/>
      <x:c r="G21" s="95"/>
      <x:c r="H21" s="95"/>
      <x:c r="I21" s="95"/>
      <x:c r="J21" s="95"/>
      <x:c r="K21" s="95"/>
      <x:c r="L21" s="95"/>
    </x:row>
    <x:row r="22" ht="19" customHeight="1">
      <x:c r="A22" s="1" t="str">
        <x:v>Opening PPE</x:v>
      </x:c>
      <x:c r="B22" s="1"/>
      <x:c r="C22" s="4"/>
      <x:c r="D22" s="4"/>
      <x:c r="E22" s="4"/>
      <x:c r="F22" s="4"/>
      <x:c r="G22" s="4"/>
      <x:c r="H22" s="4" t="n">
        <x:f>G27</x:f>
        <x:v>860.08</x:v>
      </x:c>
      <x:c r="I22" s="4" t="n">
        <x:f>H27</x:f>
        <x:v>1103.31405</x:v>
      </x:c>
      <x:c r="J22" s="4" t="n">
        <x:f>I27</x:f>
        <x:v>1331.4614105</x:v>
      </x:c>
      <x:c r="K22" s="4" t="n">
        <x:f>J27</x:f>
        <x:v>1485.177696055</x:v>
      </x:c>
      <x:c r="L22" s="4" t="n">
        <x:f>K27</x:f>
        <x:v>1627.23810966005</x:v>
      </x:c>
    </x:row>
    <x:row r="23" ht="19" customHeight="1">
      <x:c r="A23" s="1" t="str">
        <x:v>Cash capex</x:v>
      </x:c>
      <x:c r="B23" s="1"/>
      <x:c r="C23" s="26" t="n">
        <x:f>'02_Raw_Financials'!C56</x:f>
        <x:v>48.001</x:v>
      </x:c>
      <x:c r="D23" s="26" t="n">
        <x:f>'02_Raw_Financials'!D56</x:f>
        <x:v>80.9343</x:v>
      </x:c>
      <x:c r="E23" s="26" t="n">
        <x:f>'02_Raw_Financials'!E56</x:f>
        <x:v>148.3413</x:v>
      </x:c>
      <x:c r="F23" s="26" t="n">
        <x:f>'02_Raw_Financials'!F56</x:f>
        <x:v>215.53</x:v>
      </x:c>
      <x:c r="G23" s="26" t="n">
        <x:f>'02_Raw_Financials'!G56</x:f>
        <x:v>307.13</x:v>
      </x:c>
      <x:c r="H23" s="26" t="n">
        <x:f>'05_Assumptions'!H19</x:f>
        <x:v>350</x:v>
      </x:c>
      <x:c r="I23" s="26" t="n">
        <x:f>'05_Assumptions'!I19</x:f>
        <x:v>350</x:v>
      </x:c>
      <x:c r="J23" s="26" t="n">
        <x:f>'05_Assumptions'!J19</x:f>
        <x:v>275</x:v>
      </x:c>
      <x:c r="K23" s="26" t="n">
        <x:f>'05_Assumptions'!K19</x:f>
        <x:v>285</x:v>
      </x:c>
      <x:c r="L23" s="26" t="n">
        <x:f>'05_Assumptions'!L19</x:f>
        <x:v>300</x:v>
      </x:c>
    </x:row>
    <x:row r="24" ht="19" customHeight="1">
      <x:c r="A24" s="1" t="str">
        <x:v>Opening CWIP transferred to PPE</x:v>
      </x:c>
      <x:c r="B24" s="1"/>
      <x:c r="C24" s="4"/>
      <x:c r="D24" s="4"/>
      <x:c r="E24" s="4"/>
      <x:c r="F24" s="4"/>
      <x:c r="G24" s="4"/>
      <x:c r="H24" s="26" t="n">
        <x:f>G28*'05_Assumptions'!H29</x:f>
        <x:v>55.75</x:v>
      </x:c>
      <x:c r="I24" s="26" t="n">
        <x:f>H28*'05_Assumptions'!I29</x:f>
        <x:v>62.875</x:v>
      </x:c>
      <x:c r="J24" s="26" t="n">
        <x:f>I28*'05_Assumptions'!J29</x:f>
        <x:v>66.4375</x:v>
      </x:c>
      <x:c r="K24" s="26" t="n">
        <x:f>J28*'05_Assumptions'!K29</x:f>
        <x:v>60.71875</x:v>
      </x:c>
      <x:c r="L24" s="26" t="n">
        <x:f>K28*'05_Assumptions'!L29</x:f>
        <x:v>58.859375</x:v>
      </x:c>
    </x:row>
    <x:row r="25" ht="19" customHeight="1">
      <x:c r="A25" s="1" t="str">
        <x:v>Current capex commissioned</x:v>
      </x:c>
      <x:c r="B25" s="1"/>
      <x:c r="C25" s="4"/>
      <x:c r="D25" s="4"/>
      <x:c r="E25" s="4"/>
      <x:c r="F25" s="4"/>
      <x:c r="G25" s="4"/>
      <x:c r="H25" s="26" t="n">
        <x:f>H23*(1-'05_Assumptions'!H28)</x:f>
        <x:v>280</x:v>
      </x:c>
      <x:c r="I25" s="26" t="n">
        <x:f>I23*(1-'05_Assumptions'!I28)</x:f>
        <x:v>280</x:v>
      </x:c>
      <x:c r="J25" s="26" t="n">
        <x:f>J23*(1-'05_Assumptions'!J28)</x:f>
        <x:v>220</x:v>
      </x:c>
      <x:c r="K25" s="26" t="n">
        <x:f>K23*(1-'05_Assumptions'!K28)</x:f>
        <x:v>228</x:v>
      </x:c>
      <x:c r="L25" s="26" t="n">
        <x:f>L23*(1-'05_Assumptions'!L28)</x:f>
        <x:v>240</x:v>
      </x:c>
    </x:row>
    <x:row r="26" ht="19" customHeight="1">
      <x:c r="A26" s="1" t="str">
        <x:v>PPE depreciation</x:v>
      </x:c>
      <x:c r="B26" s="1"/>
      <x:c r="C26" s="4"/>
      <x:c r="D26" s="4"/>
      <x:c r="E26" s="4"/>
      <x:c r="F26" s="4"/>
      <x:c r="G26" s="4"/>
      <x:c r="H26" s="26" t="n">
        <x:f>MIN(H22+H24+H25,(H22+(H24+H25)/2)*'05_Assumptions'!H20)</x:f>
        <x:v>92.51594999999999</x:v>
      </x:c>
      <x:c r="I26" s="26" t="n">
        <x:f>MIN(I22+I24+I25,(I22+(I24+I25)/2)*'05_Assumptions'!I20)</x:f>
        <x:v>114.7276395</x:v>
      </x:c>
      <x:c r="J26" s="26" t="n">
        <x:f>MIN(J22+J24+J25,(J22+(J24+J25)/2)*'05_Assumptions'!J20)</x:f>
        <x:v>132.721214445</x:v>
      </x:c>
      <x:c r="K26" s="26" t="n">
        <x:f>MIN(K22+K24+K25,(K22+(K24+K25)/2)*'05_Assumptions'!K20)</x:f>
        <x:v>146.65833639495</x:v>
      </x:c>
      <x:c r="L26" s="26" t="n">
        <x:f>MIN(L22+L24+L25,(L22+(L24+L25)/2)*'05_Assumptions'!L20)</x:f>
        <x:v>159.90010174440448</x:v>
      </x:c>
    </x:row>
    <x:row r="27" ht="19" customHeight="1">
      <x:c r="A27" s="74" t="str">
        <x:v>Closing PPE</x:v>
      </x:c>
      <x:c r="B27" s="74"/>
      <x:c r="C27" s="80" t="n">
        <x:f>'02_Raw_Financials'!C22</x:f>
        <x:v>374.3544</x:v>
      </x:c>
      <x:c r="D27" s="80" t="n">
        <x:f>'02_Raw_Financials'!D22</x:f>
        <x:v>395.8629</x:v>
      </x:c>
      <x:c r="E27" s="80" t="n">
        <x:f>'02_Raw_Financials'!E22</x:f>
        <x:v>459.2005</x:v>
      </x:c>
      <x:c r="F27" s="80" t="n">
        <x:f>'02_Raw_Financials'!F22</x:f>
        <x:v>706.52</x:v>
      </x:c>
      <x:c r="G27" s="80" t="n">
        <x:f>'02_Raw_Financials'!G22</x:f>
        <x:v>860.08</x:v>
      </x:c>
      <x:c r="H27" s="78" t="n">
        <x:f>SUM(H22,H24:H25)-H26</x:f>
        <x:v>1103.31405</x:v>
      </x:c>
      <x:c r="I27" s="78" t="n">
        <x:f>SUM(I22,I24:I25)-I26</x:f>
        <x:v>1331.4614105</x:v>
      </x:c>
      <x:c r="J27" s="78" t="n">
        <x:f>SUM(J22,J24:J25)-J26</x:f>
        <x:v>1485.177696055</x:v>
      </x:c>
      <x:c r="K27" s="78" t="n">
        <x:f>SUM(K22,K24:K25)-K26</x:f>
        <x:v>1627.23810966005</x:v>
      </x:c>
      <x:c r="L27" s="78" t="n">
        <x:f>SUM(L22,L24:L25)-L26</x:f>
        <x:v>1766.1973829156454</x:v>
      </x:c>
    </x:row>
    <x:row r="28" ht="19" customHeight="1">
      <x:c r="A28" s="74" t="str">
        <x:v>Closing CWIP</x:v>
      </x:c>
      <x:c r="B28" s="74"/>
      <x:c r="C28" s="80" t="n">
        <x:f>'02_Raw_Financials'!C23</x:f>
        <x:v>8.4404</x:v>
      </x:c>
      <x:c r="D28" s="80" t="n">
        <x:f>'02_Raw_Financials'!D23</x:f>
        <x:v>13.9856</x:v>
      </x:c>
      <x:c r="E28" s="80" t="n">
        <x:f>'02_Raw_Financials'!E23</x:f>
        <x:v>37.9008</x:v>
      </x:c>
      <x:c r="F28" s="80" t="n">
        <x:f>'02_Raw_Financials'!F23</x:f>
        <x:v>69.9</x:v>
      </x:c>
      <x:c r="G28" s="80" t="n">
        <x:f>'02_Raw_Financials'!G23</x:f>
        <x:v>111.5</x:v>
      </x:c>
      <x:c r="H28" s="78" t="n">
        <x:f>G28-H24+H23-H25</x:f>
        <x:v>125.75</x:v>
      </x:c>
      <x:c r="I28" s="78" t="n">
        <x:f>H28-I24+I23-I25</x:f>
        <x:v>132.875</x:v>
      </x:c>
      <x:c r="J28" s="78" t="n">
        <x:f>I28-J24+J23-J25</x:f>
        <x:v>121.4375</x:v>
      </x:c>
      <x:c r="K28" s="78" t="n">
        <x:f>J28-K24+K23-K25</x:f>
        <x:v>117.71875</x:v>
      </x:c>
      <x:c r="L28" s="78" t="n">
        <x:f>K28-L24+L23-L25</x:f>
        <x:v>118.859375</x:v>
      </x:c>
    </x:row>
    <x:row r="29" ht="19" customHeight="1">
      <x:c r="A29" s="1" t="str">
        <x:v>Opening intangible assets</x:v>
      </x:c>
      <x:c r="B29" s="1"/>
      <x:c r="C29" s="4"/>
      <x:c r="D29" s="4"/>
      <x:c r="E29" s="4"/>
      <x:c r="F29" s="4"/>
      <x:c r="G29" s="4"/>
      <x:c r="H29" s="4" t="n">
        <x:f>G31</x:f>
        <x:v>63.69</x:v>
      </x:c>
      <x:c r="I29" s="4" t="n">
        <x:f>H31</x:f>
        <x:v>50.952</x:v>
      </x:c>
      <x:c r="J29" s="4" t="n">
        <x:f>I31</x:f>
        <x:v>40.7616</x:v>
      </x:c>
      <x:c r="K29" s="4" t="n">
        <x:f>J31</x:f>
        <x:v>32.60928</x:v>
      </x:c>
      <x:c r="L29" s="4" t="n">
        <x:f>K31</x:f>
        <x:v>26.087424</x:v>
      </x:c>
    </x:row>
    <x:row r="30" ht="19" customHeight="1">
      <x:c r="A30" s="1" t="str">
        <x:v>Intangible amortisation</x:v>
      </x:c>
      <x:c r="B30" s="1"/>
      <x:c r="C30" s="4"/>
      <x:c r="D30" s="4"/>
      <x:c r="E30" s="4"/>
      <x:c r="F30" s="4"/>
      <x:c r="G30" s="4"/>
      <x:c r="H30" s="26" t="n">
        <x:f>MIN(H29,H29*'05_Assumptions'!H30)</x:f>
        <x:v>12.738</x:v>
      </x:c>
      <x:c r="I30" s="26" t="n">
        <x:f>MIN(I29,I29*'05_Assumptions'!I30)</x:f>
        <x:v>10.1904</x:v>
      </x:c>
      <x:c r="J30" s="26" t="n">
        <x:f>MIN(J29,J29*'05_Assumptions'!J30)</x:f>
        <x:v>8.152320000000001</x:v>
      </x:c>
      <x:c r="K30" s="26" t="n">
        <x:f>MIN(K29,K29*'05_Assumptions'!K30)</x:f>
        <x:v>6.521856</x:v>
      </x:c>
      <x:c r="L30" s="26" t="n">
        <x:f>MIN(L29,L29*'05_Assumptions'!L30)</x:f>
        <x:v>5.2174848</x:v>
      </x:c>
    </x:row>
    <x:row r="31" ht="19" customHeight="1">
      <x:c r="A31" s="1" t="str">
        <x:v>Closing intangible assets</x:v>
      </x:c>
      <x:c r="B31" s="1"/>
      <x:c r="C31" s="26" t="n">
        <x:f>'02_Raw_Financials'!C74</x:f>
        <x:v>103.4383</x:v>
      </x:c>
      <x:c r="D31" s="26" t="n">
        <x:f>'02_Raw_Financials'!D74</x:f>
        <x:v>90.2946</x:v>
      </x:c>
      <x:c r="E31" s="26" t="n">
        <x:f>'02_Raw_Financials'!E74</x:f>
        <x:v>78.4071</x:v>
      </x:c>
      <x:c r="F31" s="26" t="n">
        <x:f>'02_Raw_Financials'!F74</x:f>
        <x:v>79.9</x:v>
      </x:c>
      <x:c r="G31" s="26" t="n">
        <x:f>'02_Raw_Financials'!G74</x:f>
        <x:v>63.69</x:v>
      </x:c>
      <x:c r="H31" s="4" t="n">
        <x:f>H29-H30</x:f>
        <x:v>50.952</x:v>
      </x:c>
      <x:c r="I31" s="4" t="n">
        <x:f>I29-I30</x:f>
        <x:v>40.7616</x:v>
      </x:c>
      <x:c r="J31" s="4" t="n">
        <x:f>J29-J30</x:f>
        <x:v>32.60928</x:v>
      </x:c>
      <x:c r="K31" s="4" t="n">
        <x:f>K29-K30</x:f>
        <x:v>26.087424</x:v>
      </x:c>
      <x:c r="L31" s="4" t="n">
        <x:f>L29-L30</x:f>
        <x:v>20.869939199999997</x:v>
      </x:c>
    </x:row>
    <x:row r="32" ht="19" customHeight="1">
      <x:c r="A32" s="1" t="str">
        <x:v>Goodwill amortisation</x:v>
      </x:c>
      <x:c r="B32" s="1"/>
      <x:c r="C32" s="4"/>
      <x:c r="D32" s="4"/>
      <x:c r="E32" s="4"/>
      <x:c r="F32" s="4"/>
      <x:c r="G32" s="4"/>
      <x:c r="H32" s="26" t="n">
        <x:f>MIN(MAX(0,G33-'05_Assumptions'!$G$44),'05_Assumptions'!$G$43)</x:f>
        <x:v>9.93</x:v>
      </x:c>
      <x:c r="I32" s="26" t="n">
        <x:f>MIN(MAX(0,H33-'05_Assumptions'!$G$44),'05_Assumptions'!$G$43)</x:f>
        <x:v>9.93</x:v>
      </x:c>
      <x:c r="J32" s="26" t="n">
        <x:f>MIN(MAX(0,I33-'05_Assumptions'!$G$44),'05_Assumptions'!$G$43)</x:f>
        <x:v>9.93</x:v>
      </x:c>
      <x:c r="K32" s="26" t="n">
        <x:f>MIN(MAX(0,J33-'05_Assumptions'!$G$44),'05_Assumptions'!$G$43)</x:f>
        <x:v>9.93</x:v>
      </x:c>
      <x:c r="L32" s="26" t="n">
        <x:f>MIN(MAX(0,K33-'05_Assumptions'!$G$44),'05_Assumptions'!$G$43)</x:f>
        <x:v>0.020000000000000462</x:v>
      </x:c>
    </x:row>
    <x:row r="33" ht="19" customHeight="1">
      <x:c r="A33" s="1" t="str">
        <x:v>Closing goodwill</x:v>
      </x:c>
      <x:c r="B33" s="1"/>
      <x:c r="C33" s="26" t="n">
        <x:f>'02_Raw_Financials'!C73</x:f>
        <x:v>79.472</x:v>
      </x:c>
      <x:c r="D33" s="26" t="n">
        <x:f>'02_Raw_Financials'!D73</x:f>
        <x:v>69.538</x:v>
      </x:c>
      <x:c r="E33" s="26" t="n">
        <x:f>'02_Raw_Financials'!E73</x:f>
        <x:v>59.604</x:v>
      </x:c>
      <x:c r="F33" s="26" t="n">
        <x:f>'02_Raw_Financials'!F73</x:f>
        <x:v>51.72</x:v>
      </x:c>
      <x:c r="G33" s="26" t="n">
        <x:f>'02_Raw_Financials'!G73</x:f>
        <x:v>41.79</x:v>
      </x:c>
      <x:c r="H33" s="4" t="n">
        <x:f>G33-H32</x:f>
        <x:v>31.86</x:v>
      </x:c>
      <x:c r="I33" s="4" t="n">
        <x:f>H33-I32</x:f>
        <x:v>21.93</x:v>
      </x:c>
      <x:c r="J33" s="4" t="n">
        <x:f>I33-J32</x:f>
        <x:v>12</x:v>
      </x:c>
      <x:c r="K33" s="4" t="n">
        <x:f>J33-K32</x:f>
        <x:v>2.0700000000000003</x:v>
      </x:c>
      <x:c r="L33" s="4" t="n">
        <x:f>K33-L32</x:f>
        <x:v>2.05</x:v>
      </x:c>
    </x:row>
    <x:row r="34" ht="19" customHeight="1">
      <x:c r="A34" s="1" t="str">
        <x:v>Closing intangibles under development</x:v>
      </x:c>
      <x:c r="B34" s="1"/>
      <x:c r="C34" s="26" t="n">
        <x:f>'02_Raw_Financials'!C75</x:f>
        <x:v>0</x:v>
      </x:c>
      <x:c r="D34" s="26" t="n">
        <x:f>'02_Raw_Financials'!D75</x:f>
        <x:v>0.6249</x:v>
      </x:c>
      <x:c r="E34" s="26" t="n">
        <x:f>'02_Raw_Financials'!E75</x:f>
        <x:v>0.3815</x:v>
      </x:c>
      <x:c r="F34" s="26" t="n">
        <x:f>'02_Raw_Financials'!F75</x:f>
        <x:v>0.47</x:v>
      </x:c>
      <x:c r="G34" s="26" t="n">
        <x:f>'02_Raw_Financials'!G75</x:f>
        <x:v>0.06</x:v>
      </x:c>
      <x:c r="H34" s="4" t="n">
        <x:f>G34</x:f>
        <x:v>0.06</x:v>
      </x:c>
      <x:c r="I34" s="4" t="n">
        <x:f>H34</x:f>
        <x:v>0.06</x:v>
      </x:c>
      <x:c r="J34" s="4" t="n">
        <x:f>I34</x:f>
        <x:v>0.06</x:v>
      </x:c>
      <x:c r="K34" s="4" t="n">
        <x:f>J34</x:f>
        <x:v>0.06</x:v>
      </x:c>
      <x:c r="L34" s="4" t="n">
        <x:f>K34</x:f>
        <x:v>0.06</x:v>
      </x:c>
    </x:row>
    <x:row r="35" ht="19" customHeight="1">
      <x:c r="A35" s="1"/>
      <x:c r="B35" s="1"/>
      <x:c r="C35" s="4"/>
      <x:c r="D35" s="4"/>
      <x:c r="E35" s="4"/>
      <x:c r="F35" s="4"/>
      <x:c r="G35" s="4"/>
      <x:c r="H35" s="4"/>
      <x:c r="I35" s="4"/>
      <x:c r="J35" s="4"/>
      <x:c r="K35" s="4"/>
      <x:c r="L35" s="4"/>
    </x:row>
    <x:row r="36" ht="19" customHeight="1">
      <x:c r="A36" s="1"/>
      <x:c r="B36" s="1"/>
      <x:c r="C36" s="4"/>
      <x:c r="D36" s="4"/>
      <x:c r="E36" s="4"/>
      <x:c r="F36" s="4"/>
      <x:c r="G36" s="4"/>
      <x:c r="H36" s="4"/>
      <x:c r="I36" s="4"/>
      <x:c r="J36" s="4"/>
      <x:c r="K36" s="4"/>
      <x:c r="L36" s="4"/>
    </x:row>
    <x:row r="37" ht="19" customHeight="1">
      <x:c r="A37" s="94" t="str">
        <x:v>Leases</x:v>
      </x:c>
      <x:c r="B37" s="94"/>
      <x:c r="C37" s="95"/>
      <x:c r="D37" s="95"/>
      <x:c r="E37" s="95"/>
      <x:c r="F37" s="95"/>
      <x:c r="G37" s="95"/>
      <x:c r="H37" s="95"/>
      <x:c r="I37" s="95"/>
      <x:c r="J37" s="95"/>
      <x:c r="K37" s="95"/>
      <x:c r="L37" s="95"/>
    </x:row>
    <x:row r="38" ht="19" customHeight="1">
      <x:c r="A38" s="1" t="str">
        <x:v>Opening right-of-use assets</x:v>
      </x:c>
      <x:c r="B38" s="1"/>
      <x:c r="C38" s="4"/>
      <x:c r="D38" s="4"/>
      <x:c r="E38" s="4"/>
      <x:c r="F38" s="4"/>
      <x:c r="G38" s="4"/>
      <x:c r="H38" s="4" t="n">
        <x:f>G41</x:f>
        <x:v>73.05</x:v>
      </x:c>
      <x:c r="I38" s="4" t="n">
        <x:f>H41</x:f>
        <x:v>75.05</x:v>
      </x:c>
      <x:c r="J38" s="4" t="n">
        <x:f>I41</x:f>
        <x:v>77.05</x:v>
      </x:c>
      <x:c r="K38" s="4" t="n">
        <x:f>J41</x:f>
        <x:v>79.05</x:v>
      </x:c>
      <x:c r="L38" s="4" t="n">
        <x:f>K41</x:f>
        <x:v>81.05</x:v>
      </x:c>
    </x:row>
    <x:row r="39" ht="19" customHeight="1">
      <x:c r="A39" s="1" t="str">
        <x:v>ROU additions</x:v>
      </x:c>
      <x:c r="B39" s="1"/>
      <x:c r="C39" s="4"/>
      <x:c r="D39" s="4"/>
      <x:c r="E39" s="4"/>
      <x:c r="F39" s="4"/>
      <x:c r="G39" s="4"/>
      <x:c r="H39" s="26" t="n">
        <x:f>'05_Assumptions'!H24</x:f>
        <x:v>8</x:v>
      </x:c>
      <x:c r="I39" s="26" t="n">
        <x:f>'05_Assumptions'!I24</x:f>
        <x:v>8</x:v>
      </x:c>
      <x:c r="J39" s="26" t="n">
        <x:f>'05_Assumptions'!J24</x:f>
        <x:v>8</x:v>
      </x:c>
      <x:c r="K39" s="26" t="n">
        <x:f>'05_Assumptions'!K24</x:f>
        <x:v>8</x:v>
      </x:c>
      <x:c r="L39" s="26" t="n">
        <x:f>'05_Assumptions'!L24</x:f>
        <x:v>8</x:v>
      </x:c>
    </x:row>
    <x:row r="40" ht="19" customHeight="1">
      <x:c r="A40" s="1" t="str">
        <x:v>ROU depreciation</x:v>
      </x:c>
      <x:c r="B40" s="1"/>
      <x:c r="C40" s="4"/>
      <x:c r="D40" s="4"/>
      <x:c r="E40" s="4"/>
      <x:c r="F40" s="4"/>
      <x:c r="G40" s="4"/>
      <x:c r="H40" s="26" t="n">
        <x:f>MIN(H38+H39,'05_Assumptions'!$G$42)</x:f>
        <x:v>6</x:v>
      </x:c>
      <x:c r="I40" s="26" t="n">
        <x:f>MIN(I38+I39,'05_Assumptions'!$G$42)</x:f>
        <x:v>6</x:v>
      </x:c>
      <x:c r="J40" s="26" t="n">
        <x:f>MIN(J38+J39,'05_Assumptions'!$G$42)</x:f>
        <x:v>6</x:v>
      </x:c>
      <x:c r="K40" s="26" t="n">
        <x:f>MIN(K38+K39,'05_Assumptions'!$G$42)</x:f>
        <x:v>6</x:v>
      </x:c>
      <x:c r="L40" s="26" t="n">
        <x:f>MIN(L38+L39,'05_Assumptions'!$G$42)</x:f>
        <x:v>6</x:v>
      </x:c>
    </x:row>
    <x:row r="41" ht="19" customHeight="1">
      <x:c r="A41" s="74" t="str">
        <x:v>Closing right-of-use assets</x:v>
      </x:c>
      <x:c r="B41" s="74"/>
      <x:c r="C41" s="80" t="n">
        <x:f>'02_Raw_Financials'!C24</x:f>
        <x:v>39.1692</x:v>
      </x:c>
      <x:c r="D41" s="80" t="n">
        <x:f>'02_Raw_Financials'!D24</x:f>
        <x:v>34.4636</x:v>
      </x:c>
      <x:c r="E41" s="80" t="n">
        <x:f>'02_Raw_Financials'!E24</x:f>
        <x:v>27.7177</x:v>
      </x:c>
      <x:c r="F41" s="80" t="n">
        <x:f>'02_Raw_Financials'!F24</x:f>
        <x:v>26.35</x:v>
      </x:c>
      <x:c r="G41" s="80" t="n">
        <x:f>'02_Raw_Financials'!G24</x:f>
        <x:v>73.05</x:v>
      </x:c>
      <x:c r="H41" s="78" t="n">
        <x:f>H38+H39-H40</x:f>
        <x:v>75.05</x:v>
      </x:c>
      <x:c r="I41" s="78" t="n">
        <x:f>I38+I39-I40</x:f>
        <x:v>77.05</x:v>
      </x:c>
      <x:c r="J41" s="78" t="n">
        <x:f>J38+J39-J40</x:f>
        <x:v>79.05</x:v>
      </x:c>
      <x:c r="K41" s="78" t="n">
        <x:f>K38+K39-K40</x:f>
        <x:v>81.05</x:v>
      </x:c>
      <x:c r="L41" s="78" t="n">
        <x:f>L38+L39-L40</x:f>
        <x:v>83.05</x:v>
      </x:c>
    </x:row>
    <x:row r="42" ht="19" customHeight="1">
      <x:c r="A42" s="1" t="str">
        <x:v>Opening lease liabilities</x:v>
      </x:c>
      <x:c r="B42" s="1"/>
      <x:c r="C42" s="4"/>
      <x:c r="D42" s="4"/>
      <x:c r="E42" s="4"/>
      <x:c r="F42" s="4"/>
      <x:c r="G42" s="4"/>
      <x:c r="H42" s="4" t="n">
        <x:f>G44</x:f>
        <x:v>16.240000000000002</x:v>
      </x:c>
      <x:c r="I42" s="4" t="n">
        <x:f>H44</x:f>
        <x:v>17.240000000000002</x:v>
      </x:c>
      <x:c r="J42" s="4" t="n">
        <x:f>I44</x:f>
        <x:v>18.240000000000002</x:v>
      </x:c>
      <x:c r="K42" s="4" t="n">
        <x:f>J44</x:f>
        <x:v>19.240000000000002</x:v>
      </x:c>
      <x:c r="L42" s="4" t="n">
        <x:f>K44</x:f>
        <x:v>20.240000000000002</x:v>
      </x:c>
    </x:row>
    <x:row r="43" ht="19" customHeight="1">
      <x:c r="A43" s="1" t="str">
        <x:v>Lease principal repayments</x:v>
      </x:c>
      <x:c r="B43" s="1"/>
      <x:c r="C43" s="4"/>
      <x:c r="D43" s="4"/>
      <x:c r="E43" s="4"/>
      <x:c r="F43" s="4"/>
      <x:c r="G43" s="4"/>
      <x:c r="H43" s="26" t="n">
        <x:f>MIN('05_Assumptions'!H25,H42+H39)</x:f>
        <x:v>7</x:v>
      </x:c>
      <x:c r="I43" s="26" t="n">
        <x:f>MIN('05_Assumptions'!I25,I42+I39)</x:f>
        <x:v>7</x:v>
      </x:c>
      <x:c r="J43" s="26" t="n">
        <x:f>MIN('05_Assumptions'!J25,J42+J39)</x:f>
        <x:v>7</x:v>
      </x:c>
      <x:c r="K43" s="26" t="n">
        <x:f>MIN('05_Assumptions'!K25,K42+K39)</x:f>
        <x:v>7</x:v>
      </x:c>
      <x:c r="L43" s="26" t="n">
        <x:f>MIN('05_Assumptions'!L25,L42+L39)</x:f>
        <x:v>7</x:v>
      </x:c>
    </x:row>
    <x:row r="44" ht="19" customHeight="1">
      <x:c r="A44" s="74" t="str">
        <x:v>Closing lease liabilities</x:v>
      </x:c>
      <x:c r="B44" s="74"/>
      <x:c r="C44" s="80" t="n">
        <x:f>SUM('02_Raw_Financials'!C41:'02_Raw_Financials'!C42)</x:f>
        <x:v>25.3549</x:v>
      </x:c>
      <x:c r="D44" s="80" t="n">
        <x:f>SUM('02_Raw_Financials'!D41:'02_Raw_Financials'!D42)</x:f>
        <x:v>21.1256</x:v>
      </x:c>
      <x:c r="E44" s="80" t="n">
        <x:f>SUM('02_Raw_Financials'!E41:'02_Raw_Financials'!E42)</x:f>
        <x:v>14.259599999999999</x:v>
      </x:c>
      <x:c r="F44" s="80" t="n">
        <x:f>SUM('02_Raw_Financials'!F41:'02_Raw_Financials'!F42)</x:f>
        <x:v>10.21</x:v>
      </x:c>
      <x:c r="G44" s="80" t="n">
        <x:f>SUM('02_Raw_Financials'!G41:'02_Raw_Financials'!G42)</x:f>
        <x:v>16.240000000000002</x:v>
      </x:c>
      <x:c r="H44" s="78" t="n">
        <x:f>H42+H39-H43</x:f>
        <x:v>17.240000000000002</x:v>
      </x:c>
      <x:c r="I44" s="78" t="n">
        <x:f>I42+I39-I43</x:f>
        <x:v>18.240000000000002</x:v>
      </x:c>
      <x:c r="J44" s="78" t="n">
        <x:f>J42+J39-J43</x:f>
        <x:v>19.240000000000002</x:v>
      </x:c>
      <x:c r="K44" s="78" t="n">
        <x:f>K42+K39-K43</x:f>
        <x:v>20.240000000000002</x:v>
      </x:c>
      <x:c r="L44" s="78" t="n">
        <x:f>L42+L39-L43</x:f>
        <x:v>21.240000000000002</x:v>
      </x:c>
    </x:row>
    <x:row r="45" ht="19" customHeight="1">
      <x:c r="A45" s="1" t="str">
        <x:v>Lease interest</x:v>
      </x:c>
      <x:c r="B45" s="1"/>
      <x:c r="C45" s="4"/>
      <x:c r="D45" s="4"/>
      <x:c r="E45" s="4"/>
      <x:c r="F45" s="4"/>
      <x:c r="G45" s="4"/>
      <x:c r="H45" s="26" t="n">
        <x:f>H42*'05_Assumptions'!H26</x:f>
        <x:v>0.9744</x:v>
      </x:c>
      <x:c r="I45" s="26" t="n">
        <x:f>I42*'05_Assumptions'!I26</x:f>
        <x:v>1.0344</x:v>
      </x:c>
      <x:c r="J45" s="26" t="n">
        <x:f>J42*'05_Assumptions'!J26</x:f>
        <x:v>1.0944</x:v>
      </x:c>
      <x:c r="K45" s="26" t="n">
        <x:f>K42*'05_Assumptions'!K26</x:f>
        <x:v>1.1544</x:v>
      </x:c>
      <x:c r="L45" s="26" t="n">
        <x:f>L42*'05_Assumptions'!L26</x:f>
        <x:v>1.2144000000000001</x:v>
      </x:c>
    </x:row>
    <x:row r="46" ht="19" customHeight="1">
      <x:c r="A46" s="1"/>
      <x:c r="B46" s="1"/>
      <x:c r="C46" s="4"/>
      <x:c r="D46" s="4"/>
      <x:c r="E46" s="4"/>
      <x:c r="F46" s="4"/>
      <x:c r="G46" s="4"/>
      <x:c r="H46" s="4"/>
      <x:c r="I46" s="4"/>
      <x:c r="J46" s="4"/>
      <x:c r="K46" s="4"/>
      <x:c r="L46" s="4"/>
    </x:row>
    <x:row r="47" ht="19" customHeight="1">
      <x:c r="A47" s="1"/>
      <x:c r="B47" s="1"/>
      <x:c r="C47" s="4"/>
      <x:c r="D47" s="4"/>
      <x:c r="E47" s="4"/>
      <x:c r="F47" s="4"/>
      <x:c r="G47" s="4"/>
      <x:c r="H47" s="4"/>
      <x:c r="I47" s="4"/>
      <x:c r="J47" s="4"/>
      <x:c r="K47" s="4"/>
      <x:c r="L47" s="4"/>
    </x:row>
    <x:row r="48" ht="19" customHeight="1">
      <x:c r="A48" s="1"/>
      <x:c r="B48" s="1"/>
      <x:c r="C48" s="4"/>
      <x:c r="D48" s="4"/>
      <x:c r="E48" s="4"/>
      <x:c r="F48" s="4"/>
      <x:c r="G48" s="4"/>
      <x:c r="H48" s="4"/>
      <x:c r="I48" s="4"/>
      <x:c r="J48" s="4"/>
      <x:c r="K48" s="4"/>
      <x:c r="L48" s="4"/>
    </x:row>
    <x:row r="49" ht="19" customHeight="1">
      <x:c r="A49" s="94" t="str">
        <x:v>Financing and liquidity</x:v>
      </x:c>
      <x:c r="B49" s="94"/>
      <x:c r="C49" s="95"/>
      <x:c r="D49" s="95"/>
      <x:c r="E49" s="95"/>
      <x:c r="F49" s="95"/>
      <x:c r="G49" s="95"/>
      <x:c r="H49" s="95"/>
      <x:c r="I49" s="95"/>
      <x:c r="J49" s="95"/>
      <x:c r="K49" s="95"/>
      <x:c r="L49" s="95"/>
    </x:row>
    <x:row r="50" ht="19" customHeight="1">
      <x:c r="A50" s="1" t="str">
        <x:v>Opening borrowings</x:v>
      </x:c>
      <x:c r="B50" s="1"/>
      <x:c r="C50" s="4"/>
      <x:c r="D50" s="4"/>
      <x:c r="E50" s="4"/>
      <x:c r="F50" s="4"/>
      <x:c r="G50" s="4"/>
      <x:c r="H50" s="4" t="n">
        <x:f>G60</x:f>
        <x:v>362.91999999999996</x:v>
      </x:c>
      <x:c r="I50" s="4" t="n">
        <x:f>H60</x:f>
        <x:v>396.4534651256848</x:v>
      </x:c>
      <x:c r="J50" s="4" t="n">
        <x:f>I60</x:f>
        <x:v>424.3256710931785</x:v>
      </x:c>
      <x:c r="K50" s="4" t="n">
        <x:f>J60</x:f>
        <x:v>329.4176247164508</x:v>
      </x:c>
      <x:c r="L50" s="4" t="n">
        <x:f>K60</x:f>
        <x:v>188.7645823645743</x:v>
      </x:c>
    </x:row>
    <x:row r="51" ht="19" customHeight="1">
      <x:c r="A51" s="1" t="str">
        <x:v>Scheduled debt repayment</x:v>
      </x:c>
      <x:c r="B51" s="1"/>
      <x:c r="C51" s="4"/>
      <x:c r="D51" s="4"/>
      <x:c r="E51" s="4"/>
      <x:c r="F51" s="4"/>
      <x:c r="G51" s="4"/>
      <x:c r="H51" s="26" t="n">
        <x:f>MIN('05_Assumptions'!H21,H50)</x:f>
        <x:v>20</x:v>
      </x:c>
      <x:c r="I51" s="26" t="n">
        <x:f>MIN('05_Assumptions'!I21,I50)</x:f>
        <x:v>20</x:v>
      </x:c>
      <x:c r="J51" s="26" t="n">
        <x:f>MIN('05_Assumptions'!J21,J50)</x:f>
        <x:v>20</x:v>
      </x:c>
      <x:c r="K51" s="26" t="n">
        <x:f>MIN('05_Assumptions'!K21,K50)</x:f>
        <x:v>20</x:v>
      </x:c>
      <x:c r="L51" s="26" t="n">
        <x:f>MIN('05_Assumptions'!L21,L50)</x:f>
        <x:v>20</x:v>
      </x:c>
    </x:row>
    <x:row r="52" ht="19" customHeight="1">
      <x:c r="A52" s="1" t="str">
        <x:v>Borrowing interest</x:v>
      </x:c>
      <x:c r="B52" s="1"/>
      <x:c r="C52" s="4"/>
      <x:c r="D52" s="4"/>
      <x:c r="E52" s="4"/>
      <x:c r="F52" s="4"/>
      <x:c r="G52" s="4"/>
      <x:c r="H52" s="26" t="n">
        <x:f>H50*'05_Assumptions'!H23</x:f>
        <x:v>30.8482</x:v>
      </x:c>
      <x:c r="I52" s="26" t="n">
        <x:f>I50*'05_Assumptions'!I23</x:f>
        <x:v>33.69854453568321</x:v>
      </x:c>
      <x:c r="J52" s="26" t="n">
        <x:f>J50*'05_Assumptions'!J23</x:f>
        <x:v>36.067682042920175</x:v>
      </x:c>
      <x:c r="K52" s="26" t="n">
        <x:f>K50*'05_Assumptions'!K23</x:f>
        <x:v>28.00049810089832</x:v>
      </x:c>
      <x:c r="L52" s="26" t="n">
        <x:f>L50*'05_Assumptions'!L23</x:f>
        <x:v>16.044989500988816</x:v>
      </x:c>
    </x:row>
    <x:row r="53" ht="19" customHeight="1">
      <x:c r="A53" s="1" t="str">
        <x:v>Cash dividends</x:v>
      </x:c>
      <x:c r="B53" s="1"/>
      <x:c r="C53" s="4"/>
      <x:c r="D53" s="4"/>
      <x:c r="E53" s="4"/>
      <x:c r="F53" s="4"/>
      <x:c r="G53" s="4"/>
      <x:c r="H53" s="26" t="n">
        <x:f>MAX(0,'07_Income_Statement'!H17)*'05_Assumptions'!H27</x:f>
        <x:v>26.57684422500001</x:v>
      </x:c>
      <x:c r="I53" s="26" t="n">
        <x:f>MAX(0,'07_Income_Statement'!I17)*'05_Assumptions'!I27</x:f>
        <x:v>29.811223328573774</x:v>
      </x:c>
      <x:c r="J53" s="26" t="n">
        <x:f>MAX(0,'07_Income_Statement'!J17)*'05_Assumptions'!J27</x:f>
        <x:v>33.6557471971935</x:v>
      </x:c>
      <x:c r="K53" s="26" t="n">
        <x:f>MAX(0,'07_Income_Statement'!K17)*'05_Assumptions'!K27</x:f>
        <x:v>38.0563914575934</x:v>
      </x:c>
      <x:c r="L53" s="26" t="n">
        <x:f>MAX(0,'07_Income_Statement'!L17)*'05_Assumptions'!L27</x:f>
        <x:v>42.863553584694756</x:v>
      </x:c>
    </x:row>
    <x:row r="54" ht="19" customHeight="1">
      <x:c r="A54" s="1" t="str">
        <x:v>Opening cash</x:v>
      </x:c>
      <x:c r="B54" s="1"/>
      <x:c r="C54" s="4"/>
      <x:c r="D54" s="4"/>
      <x:c r="E54" s="4"/>
      <x:c r="F54" s="4"/>
      <x:c r="G54" s="4"/>
      <x:c r="H54" s="4" t="n">
        <x:f>G61</x:f>
        <x:v>117.9</x:v>
      </x:c>
      <x:c r="I54" s="4" t="n">
        <x:f>H61</x:f>
        <x:v>87.85532</x:v>
      </x:c>
      <x:c r="J54" s="4" t="n">
        <x:f>I61</x:f>
        <x:v>97.54280200000004</x:v>
      </x:c>
      <x:c r="K54" s="4" t="n">
        <x:f>J61</x:f>
        <x:v>107.56634518000003</x:v>
      </x:c>
      <x:c r="L54" s="4" t="n">
        <x:f>K61</x:f>
        <x:v>117.12591589440004</x:v>
      </x:c>
    </x:row>
    <x:row r="55" ht="19" customHeight="1">
      <x:c r="A55" s="1" t="str">
        <x:v>Cash flow before financing</x:v>
      </x:c>
      <x:c r="B55" s="1"/>
      <x:c r="C55" s="4"/>
      <x:c r="D55" s="4"/>
      <x:c r="E55" s="4"/>
      <x:c r="F55" s="4"/>
      <x:c r="G55" s="4"/>
      <x:c r="H55" s="26" t="n">
        <x:f>'09_Cash_Flow'!H8+'09_Cash_Flow'!H9</x:f>
        <x:v>1.8212990993151834</x:v>
      </x:c>
      <x:c r="I55" s="26" t="n">
        <x:f>'09_Cash_Flow'!I8+'09_Cash_Flow'!I9</x:f>
        <x:v>53.35944389676325</x:v>
      </x:c>
      <x:c r="J55" s="26" t="n">
        <x:f>'09_Cash_Flow'!J8+'09_Cash_Flow'!J9</x:f>
        <x:v>182.74941879684138</x:v>
      </x:c>
      <x:c r="K55" s="26" t="n">
        <x:f>'09_Cash_Flow'!K8+'09_Cash_Flow'!K9</x:f>
        <x:v>224.42390262476823</x:v>
      </x:c>
      <x:c r="L55" s="26" t="n">
        <x:f>'09_Cash_Flow'!L8+'09_Cash_Flow'!L9</x:f>
        <x:v>251.68717748409102</x:v>
      </x:c>
    </x:row>
    <x:row r="56" ht="19" customHeight="1">
      <x:c r="A56" s="1" t="str">
        <x:v>Minimum cash balance</x:v>
      </x:c>
      <x:c r="B56" s="1"/>
      <x:c r="C56" s="4"/>
      <x:c r="D56" s="4"/>
      <x:c r="E56" s="4"/>
      <x:c r="F56" s="4"/>
      <x:c r="G56" s="4"/>
      <x:c r="H56" s="26" t="n">
        <x:f>H10*'05_Assumptions'!H22</x:f>
        <x:v>87.85532</x:v>
      </x:c>
      <x:c r="I56" s="26" t="n">
        <x:f>I10*'05_Assumptions'!I22</x:f>
        <x:v>97.54280200000004</x:v>
      </x:c>
      <x:c r="J56" s="26" t="n">
        <x:f>J10*'05_Assumptions'!J22</x:f>
        <x:v>107.56634518000003</x:v>
      </x:c>
      <x:c r="K56" s="26" t="n">
        <x:f>K10*'05_Assumptions'!K22</x:f>
        <x:v>117.12591589440004</x:v>
      </x:c>
      <x:c r="L56" s="26" t="n">
        <x:f>L10*'05_Assumptions'!L22</x:f>
        <x:v>126.12631101100806</x:v>
      </x:c>
    </x:row>
    <x:row r="57" ht="19" customHeight="1">
      <x:c r="A57" s="1" t="str">
        <x:v>Cash before new borrowing</x:v>
      </x:c>
      <x:c r="B57" s="1"/>
      <x:c r="C57" s="4"/>
      <x:c r="D57" s="4"/>
      <x:c r="E57" s="4"/>
      <x:c r="F57" s="4"/>
      <x:c r="G57" s="4"/>
      <x:c r="H57" s="26" t="n">
        <x:f>H54+H55-H51-H43-H53-'07_Income_Statement'!H13</x:f>
        <x:v>34.32185487431519</x:v>
      </x:c>
      <x:c r="I57" s="26" t="n">
        <x:f>I54+I55-I51-I43-I53-'07_Income_Statement'!I13</x:f>
        <x:v>49.670596032506275</x:v>
      </x:c>
      <x:c r="J57" s="26" t="n">
        <x:f>J54+J55-J51-J43-J53-'07_Income_Statement'!J13</x:f>
        <x:v>182.47439155672777</x:v>
      </x:c>
      <x:c r="K57" s="26" t="n">
        <x:f>K54+K55-K51-K43-K53-'07_Income_Statement'!K13</x:f>
        <x:v>237.77895824627655</x:v>
      </x:c>
      <x:c r="L57" s="26" t="n">
        <x:f>L54+L55-L51-L43-L53-'07_Income_Statement'!L13</x:f>
        <x:v>281.6901502928075</x:v>
      </x:c>
    </x:row>
    <x:row r="58" ht="19" customHeight="1">
      <x:c r="A58" s="1" t="str">
        <x:v>New borrowing required</x:v>
      </x:c>
      <x:c r="B58" s="1"/>
      <x:c r="C58" s="4"/>
      <x:c r="D58" s="4"/>
      <x:c r="E58" s="4"/>
      <x:c r="F58" s="4"/>
      <x:c r="G58" s="4"/>
      <x:c r="H58" s="4" t="n">
        <x:f>MAX(0,H56-H57)</x:f>
        <x:v>53.53346512568481</x:v>
      </x:c>
      <x:c r="I58" s="4" t="n">
        <x:f>MAX(0,I56-I57)</x:f>
        <x:v>47.87220596749376</x:v>
      </x:c>
      <x:c r="J58" s="4" t="n">
        <x:f>MAX(0,J56-J57)</x:f>
        <x:v>0</x:v>
      </x:c>
      <x:c r="K58" s="4" t="n">
        <x:f>MAX(0,K56-K57)</x:f>
        <x:v>0</x:v>
      </x:c>
      <x:c r="L58" s="4" t="n">
        <x:f>MAX(0,L56-L57)</x:f>
        <x:v>0</x:v>
      </x:c>
    </x:row>
    <x:row r="59" ht="19" customHeight="1">
      <x:c r="A59" s="1" t="str">
        <x:v>Surplus cash used to repay debt</x:v>
      </x:c>
      <x:c r="B59" s="1"/>
      <x:c r="C59" s="4"/>
      <x:c r="D59" s="4"/>
      <x:c r="E59" s="4"/>
      <x:c r="F59" s="4"/>
      <x:c r="G59" s="4"/>
      <x:c r="H59" s="4" t="n">
        <x:f>MIN(MAX(0,H57-H56),MAX(0,H50-H51))</x:f>
        <x:v>0</x:v>
      </x:c>
      <x:c r="I59" s="4" t="n">
        <x:f>MIN(MAX(0,I57-I56),MAX(0,I50-I51))</x:f>
        <x:v>0</x:v>
      </x:c>
      <x:c r="J59" s="4" t="n">
        <x:f>MIN(MAX(0,J57-J56),MAX(0,J50-J51))</x:f>
        <x:v>74.90804637672774</x:v>
      </x:c>
      <x:c r="K59" s="4" t="n">
        <x:f>MIN(MAX(0,K57-K56),MAX(0,K50-K51))</x:f>
        <x:v>120.65304235187651</x:v>
      </x:c>
      <x:c r="L59" s="4" t="n">
        <x:f>MIN(MAX(0,L57-L56),MAX(0,L50-L51))</x:f>
        <x:v>155.56383928179946</x:v>
      </x:c>
    </x:row>
    <x:row r="60" ht="19" customHeight="1">
      <x:c r="A60" s="74" t="str">
        <x:v>Closing borrowings</x:v>
      </x:c>
      <x:c r="B60" s="74"/>
      <x:c r="C60" s="80" t="n">
        <x:f>SUM('02_Raw_Financials'!C39:'02_Raw_Financials'!C40)</x:f>
        <x:v>128.0634</x:v>
      </x:c>
      <x:c r="D60" s="80" t="n">
        <x:f>SUM('02_Raw_Financials'!D39:'02_Raw_Financials'!D40)</x:f>
        <x:v>89.2025</x:v>
      </x:c>
      <x:c r="E60" s="80" t="n">
        <x:f>SUM('02_Raw_Financials'!E39:'02_Raw_Financials'!E40)</x:f>
        <x:v>46.6237</x:v>
      </x:c>
      <x:c r="F60" s="80" t="n">
        <x:f>SUM('02_Raw_Financials'!F39:'02_Raw_Financials'!F40)</x:f>
        <x:v>268.64</x:v>
      </x:c>
      <x:c r="G60" s="80" t="n">
        <x:f>SUM('02_Raw_Financials'!G39:'02_Raw_Financials'!G40)</x:f>
        <x:v>362.91999999999996</x:v>
      </x:c>
      <x:c r="H60" s="78" t="n">
        <x:f>H50-H51+H58-H59</x:f>
        <x:v>396.4534651256848</x:v>
      </x:c>
      <x:c r="I60" s="78" t="n">
        <x:f>I50-I51+I58-I59</x:f>
        <x:v>424.3256710931785</x:v>
      </x:c>
      <x:c r="J60" s="78" t="n">
        <x:f>J50-J51+J58-J59</x:f>
        <x:v>329.4176247164508</x:v>
      </x:c>
      <x:c r="K60" s="78" t="n">
        <x:f>K50-K51+K58-K59</x:f>
        <x:v>188.7645823645743</x:v>
      </x:c>
      <x:c r="L60" s="78" t="n">
        <x:f>L50-L51+L58-L59</x:f>
        <x:v>13.200743082774835</x:v>
      </x:c>
    </x:row>
    <x:row r="61" ht="19" customHeight="1">
      <x:c r="A61" s="74" t="str">
        <x:v>Closing cash</x:v>
      </x:c>
      <x:c r="B61" s="74"/>
      <x:c r="C61" s="80" t="n">
        <x:f>'02_Raw_Financials'!C55</x:f>
        <x:v>22.5859</x:v>
      </x:c>
      <x:c r="D61" s="80" t="n">
        <x:f>'02_Raw_Financials'!D55</x:f>
        <x:v>55.9968</x:v>
      </x:c>
      <x:c r="E61" s="80" t="n">
        <x:f>'02_Raw_Financials'!E55</x:f>
        <x:v>112.5423</x:v>
      </x:c>
      <x:c r="F61" s="80" t="n">
        <x:f>'02_Raw_Financials'!F55</x:f>
        <x:v>101.08</x:v>
      </x:c>
      <x:c r="G61" s="80" t="n">
        <x:f>'02_Raw_Financials'!G55</x:f>
        <x:v>117.9</x:v>
      </x:c>
      <x:c r="H61" s="78" t="n">
        <x:f>H57+H58-H59</x:f>
        <x:v>87.85532</x:v>
      </x:c>
      <x:c r="I61" s="78" t="n">
        <x:f>I57+I58-I59</x:f>
        <x:v>97.54280200000004</x:v>
      </x:c>
      <x:c r="J61" s="78" t="n">
        <x:f>J57+J58-J59</x:f>
        <x:v>107.56634518000003</x:v>
      </x:c>
      <x:c r="K61" s="78" t="n">
        <x:f>K57+K58-K59</x:f>
        <x:v>117.12591589440004</x:v>
      </x:c>
      <x:c r="L61" s="78" t="n">
        <x:f>L57+L58-L59</x:f>
        <x:v>126.12631101100806</x:v>
      </x:c>
    </x:row>
    <x:row r="62" ht="19" customHeight="1">
      <x:c r="A62" s="1"/>
      <x:c r="B62" s="1"/>
      <x:c r="C62" s="4"/>
      <x:c r="D62" s="4"/>
      <x:c r="E62" s="4"/>
      <x:c r="F62" s="4"/>
      <x:c r="G62" s="4"/>
      <x:c r="H62" s="4"/>
      <x:c r="I62" s="4"/>
      <x:c r="J62" s="4"/>
      <x:c r="K62" s="4"/>
      <x:c r="L62" s="4"/>
    </x:row>
    <x:row r="63" ht="19" customHeight="1">
      <x:c r="A63" s="1"/>
      <x:c r="B63" s="1"/>
      <x:c r="C63" s="4"/>
      <x:c r="D63" s="4"/>
      <x:c r="E63" s="4"/>
      <x:c r="F63" s="4"/>
      <x:c r="G63" s="4"/>
      <x:c r="H63" s="4"/>
      <x:c r="I63" s="4"/>
      <x:c r="J63" s="4"/>
      <x:c r="K63" s="4"/>
      <x:c r="L63" s="4"/>
    </x:row>
    <x:row r="64" ht="19" customHeight="1">
      <x:c r="A64" s="1"/>
      <x:c r="B64" s="1"/>
      <x:c r="C64" s="4"/>
      <x:c r="D64" s="4"/>
      <x:c r="E64" s="4"/>
      <x:c r="F64" s="4"/>
      <x:c r="G64" s="4"/>
      <x:c r="H64" s="4"/>
      <x:c r="I64" s="4"/>
      <x:c r="J64" s="4"/>
      <x:c r="K64" s="4"/>
      <x:c r="L64" s="4"/>
    </x:row>
    <x:row r="65" ht="19" customHeight="1">
      <x:c r="A65" s="94" t="str">
        <x:v>Equity and depreciation</x:v>
      </x:c>
      <x:c r="B65" s="94"/>
      <x:c r="C65" s="95"/>
      <x:c r="D65" s="95"/>
      <x:c r="E65" s="95"/>
      <x:c r="F65" s="95"/>
      <x:c r="G65" s="95"/>
      <x:c r="H65" s="95"/>
      <x:c r="I65" s="95"/>
      <x:c r="J65" s="95"/>
      <x:c r="K65" s="95"/>
      <x:c r="L65" s="95"/>
    </x:row>
    <x:row r="66" ht="19" customHeight="1">
      <x:c r="A66" s="1" t="str">
        <x:v>Opening other equity</x:v>
      </x:c>
      <x:c r="B66" s="1"/>
      <x:c r="C66" s="4"/>
      <x:c r="D66" s="4"/>
      <x:c r="E66" s="4"/>
      <x:c r="F66" s="4"/>
      <x:c r="G66" s="4"/>
      <x:c r="H66" s="4" t="n">
        <x:f>G69</x:f>
        <x:v>1242.7</x:v>
      </x:c>
      <x:c r="I66" s="4" t="n">
        <x:f>H69</x:f>
        <x:v>1481.8915980250001</x:v>
      </x:c>
      <x:c r="J66" s="4" t="n">
        <x:f>I69</x:f>
        <x:v>1750.1926079821642</x:v>
      </x:c>
      <x:c r="K66" s="4" t="n">
        <x:f>J69</x:f>
        <x:v>2053.0943327569057</x:v>
      </x:c>
      <x:c r="L66" s="4" t="n">
        <x:f>K69</x:f>
        <x:v>2395.6018558752467</x:v>
      </x:c>
    </x:row>
    <x:row r="67" ht="19" customHeight="1">
      <x:c r="A67" s="1" t="str">
        <x:v>Profit attributable to owners</x:v>
      </x:c>
      <x:c r="B67" s="1"/>
      <x:c r="C67" s="4"/>
      <x:c r="D67" s="4"/>
      <x:c r="E67" s="4"/>
      <x:c r="F67" s="4"/>
      <x:c r="G67" s="4"/>
      <x:c r="H67" s="26" t="n">
        <x:f>'07_Income_Statement'!H17</x:f>
        <x:v>265.7684422500001</x:v>
      </x:c>
      <x:c r="I67" s="26" t="n">
        <x:f>'07_Income_Statement'!I17</x:f>
        <x:v>298.1122332857377</x:v>
      </x:c>
      <x:c r="J67" s="26" t="n">
        <x:f>'07_Income_Statement'!J17</x:f>
        <x:v>336.557471971935</x:v>
      </x:c>
      <x:c r="K67" s="26" t="n">
        <x:f>'07_Income_Statement'!K17</x:f>
        <x:v>380.56391457593395</x:v>
      </x:c>
      <x:c r="L67" s="26" t="n">
        <x:f>'07_Income_Statement'!L17</x:f>
        <x:v>428.63553584694756</x:v>
      </x:c>
    </x:row>
    <x:row r="68" ht="19" customHeight="1">
      <x:c r="A68" s="1" t="str">
        <x:v>Cash dividends</x:v>
      </x:c>
      <x:c r="B68" s="1"/>
      <x:c r="C68" s="4"/>
      <x:c r="D68" s="4"/>
      <x:c r="E68" s="4"/>
      <x:c r="F68" s="4"/>
      <x:c r="G68" s="4"/>
      <x:c r="H68" s="4" t="n">
        <x:f>H53</x:f>
        <x:v>26.57684422500001</x:v>
      </x:c>
      <x:c r="I68" s="4" t="n">
        <x:f>I53</x:f>
        <x:v>29.811223328573774</x:v>
      </x:c>
      <x:c r="J68" s="4" t="n">
        <x:f>J53</x:f>
        <x:v>33.6557471971935</x:v>
      </x:c>
      <x:c r="K68" s="4" t="n">
        <x:f>K53</x:f>
        <x:v>38.0563914575934</x:v>
      </x:c>
      <x:c r="L68" s="4" t="n">
        <x:f>L53</x:f>
        <x:v>42.863553584694756</x:v>
      </x:c>
    </x:row>
    <x:row r="69" ht="19" customHeight="1">
      <x:c r="A69" s="74" t="str">
        <x:v>Closing other equity</x:v>
      </x:c>
      <x:c r="B69" s="74"/>
      <x:c r="C69" s="80" t="n">
        <x:f>'02_Raw_Financials'!C37</x:f>
        <x:v>563.9943</x:v>
      </x:c>
      <x:c r="D69" s="80" t="n">
        <x:f>'02_Raw_Financials'!D37</x:f>
        <x:v>692.0946</x:v>
      </x:c>
      <x:c r="E69" s="80" t="n">
        <x:f>'02_Raw_Financials'!E37</x:f>
        <x:v>833.084</x:v>
      </x:c>
      <x:c r="F69" s="80" t="n">
        <x:f>'02_Raw_Financials'!F37</x:f>
        <x:v>1003.84</x:v>
      </x:c>
      <x:c r="G69" s="80" t="n">
        <x:f>'02_Raw_Financials'!G37</x:f>
        <x:v>1242.7</x:v>
      </x:c>
      <x:c r="H69" s="78" t="n">
        <x:f>SUM(H66:H67)-H68</x:f>
        <x:v>1481.8915980250001</x:v>
      </x:c>
      <x:c r="I69" s="78" t="n">
        <x:f>SUM(I66:I67)-I68</x:f>
        <x:v>1750.1926079821642</x:v>
      </x:c>
      <x:c r="J69" s="78" t="n">
        <x:f>SUM(J66:J67)-J68</x:f>
        <x:v>2053.0943327569057</x:v>
      </x:c>
      <x:c r="K69" s="78" t="n">
        <x:f>SUM(K66:K67)-K68</x:f>
        <x:v>2395.6018558752467</x:v>
      </x:c>
      <x:c r="L69" s="78" t="n">
        <x:f>SUM(L66:L67)-L68</x:f>
        <x:v>2781.3738381374997</x:v>
      </x:c>
    </x:row>
    <x:row r="70" ht="19" customHeight="1">
      <x:c r="A70" s="74" t="str">
        <x:v>Total depreciation and amortisation</x:v>
      </x:c>
      <x:c r="B70" s="74"/>
      <x:c r="C70" s="80" t="n">
        <x:f>'02_Raw_Financials'!C12</x:f>
        <x:v>81.839</x:v>
      </x:c>
      <x:c r="D70" s="80" t="n">
        <x:f>'02_Raw_Financials'!D12</x:f>
        <x:v>77.9078</x:v>
      </x:c>
      <x:c r="E70" s="80" t="n">
        <x:f>'02_Raw_Financials'!E12</x:f>
        <x:v>82.0606</x:v>
      </x:c>
      <x:c r="F70" s="80" t="n">
        <x:f>'02_Raw_Financials'!F12</x:f>
        <x:v>89.75</x:v>
      </x:c>
      <x:c r="G70" s="80" t="n">
        <x:f>'02_Raw_Financials'!G12</x:f>
        <x:v>119.96</x:v>
      </x:c>
      <x:c r="H70" s="78" t="n">
        <x:f>SUM(H26,H30,H32,H40)</x:f>
        <x:v>121.18394999999998</x:v>
      </x:c>
      <x:c r="I70" s="78" t="n">
        <x:f>SUM(I26,I30,I32,I40)</x:f>
        <x:v>140.8480395</x:v>
      </x:c>
      <x:c r="J70" s="78" t="n">
        <x:f>SUM(J26,J30,J32,J40)</x:f>
        <x:v>156.803534445</x:v>
      </x:c>
      <x:c r="K70" s="78" t="n">
        <x:f>SUM(K26,K30,K32,K40)</x:f>
        <x:v>169.11019239495</x:v>
      </x:c>
      <x:c r="L70" s="78" t="n">
        <x:f>SUM(L26,L30,L32,L40)</x:f>
        <x:v>171.13758654440448</x:v>
      </x:c>
    </x:row>
    <x:row r="71" ht="19" customHeight="1">
      <x:c r="A71" s="1"/>
      <x:c r="B71" s="1"/>
      <x:c r="C71" s="4"/>
      <x:c r="D71" s="4"/>
      <x:c r="E71" s="4"/>
      <x:c r="F71" s="4"/>
      <x:c r="G71" s="4"/>
      <x:c r="H71" s="4"/>
      <x:c r="I71" s="4"/>
      <x:c r="J71" s="4"/>
      <x:c r="K71" s="4"/>
      <x:c r="L71" s="4"/>
    </x:row>
    <x:row r="72" ht="19" customHeight="1">
      <x:c r="A72" s="1"/>
      <x:c r="B72" s="1"/>
      <x:c r="C72" s="4"/>
      <x:c r="D72" s="4"/>
      <x:c r="E72" s="4"/>
      <x:c r="F72" s="4"/>
      <x:c r="G72" s="4"/>
      <x:c r="H72" s="4"/>
      <x:c r="I72" s="4"/>
      <x:c r="J72" s="4"/>
      <x:c r="K72" s="4"/>
      <x:c r="L72" s="4"/>
    </x:row>
    <x:row r="73" ht="32" customHeight="1">
      <x:c r="A73" s="62" t="str">
        <x:v>Interest uses opening borrowings and lease balances. Revolver draws and surplus repayments occur at year-end, avoiding circular calculations.</x:v>
      </x:c>
      <x:c r="B73" s="62"/>
      <x:c r="C73" s="63"/>
      <x:c r="D73" s="63"/>
      <x:c r="E73" s="63"/>
      <x:c r="F73" s="63"/>
      <x:c r="G73" s="63"/>
      <x:c r="H73" s="63"/>
      <x:c r="I73" s="63"/>
      <x:c r="J73" s="63"/>
      <x:c r="K73" s="63"/>
      <x:c r="L73" s="63"/>
    </x:row>
    <x:row r="74" ht="19" customHeight="1">
      <x:c r="A74" s="1"/>
      <x:c r="B74" s="1"/>
      <x:c r="C74" s="4"/>
      <x:c r="D74" s="4"/>
      <x:c r="E74" s="4"/>
      <x:c r="F74" s="4"/>
      <x:c r="G74" s="4"/>
      <x:c r="H74" s="4"/>
      <x:c r="I74" s="4"/>
      <x:c r="J74" s="4"/>
      <x:c r="K74" s="4"/>
      <x:c r="L74" s="4"/>
    </x:row>
    <x:row r="75" ht="32" customHeight="1">
      <x:c r="A75" s="62" t="str">
        <x:v>PPE depreciation uses opening PPE plus half-year commissioned additions. Intangibles amortise separately; scheme goodwill amortisation stops at INR 2.05 crore.</x:v>
      </x:c>
      <x:c r="B75" s="62"/>
      <x:c r="C75" s="63"/>
      <x:c r="D75" s="63"/>
      <x:c r="E75" s="63"/>
      <x:c r="F75" s="63"/>
      <x:c r="G75" s="63"/>
      <x:c r="H75" s="63"/>
      <x:c r="I75" s="63"/>
      <x:c r="J75" s="63"/>
      <x:c r="K75" s="63"/>
      <x:c r="L75" s="63"/>
    </x:row>
    <x:row r="76" ht="19" customHeight="1">
      <x:c r="A76" s="1"/>
      <x:c r="B76" s="1"/>
      <x:c r="C76" s="4"/>
      <x:c r="D76" s="4"/>
      <x:c r="E76" s="4"/>
      <x:c r="F76" s="4"/>
      <x:c r="G76" s="4"/>
      <x:c r="H76" s="4"/>
      <x:c r="I76" s="4"/>
      <x:c r="J76" s="4"/>
      <x:c r="K76" s="4"/>
      <x:c r="L76" s="4"/>
    </x:row>
    <x:row r="77" ht="19" customHeight="1">
      <x:c r="A77" s="1"/>
      <x:c r="B77" s="1"/>
      <x:c r="C77" s="4"/>
      <x:c r="D77" s="4"/>
      <x:c r="E77" s="4"/>
      <x:c r="F77" s="4"/>
      <x:c r="G77" s="4"/>
      <x:c r="H77" s="4"/>
      <x:c r="I77" s="4"/>
      <x:c r="J77" s="4"/>
      <x:c r="K77" s="4"/>
      <x:c r="L77" s="4"/>
    </x:row>
    <x:row r="78" ht="19" customHeight="1">
      <x:c r="A78" s="1"/>
      <x:c r="B78" s="1"/>
      <x:c r="C78" s="4"/>
      <x:c r="D78" s="4"/>
      <x:c r="E78" s="4"/>
      <x:c r="F78" s="4"/>
      <x:c r="G78" s="4"/>
      <x:c r="H78" s="4"/>
      <x:c r="I78" s="4"/>
      <x:c r="J78" s="4"/>
      <x:c r="K78" s="4"/>
      <x:c r="L78" s="4"/>
    </x:row>
    <x:row r="79" ht="19" customHeight="1">
      <x:c r="A79" s="1"/>
      <x:c r="B79" s="1"/>
      <x:c r="C79" s="4"/>
      <x:c r="D79" s="4"/>
      <x:c r="E79" s="4"/>
      <x:c r="F79" s="4"/>
      <x:c r="G79" s="4"/>
      <x:c r="H79" s="4"/>
      <x:c r="I79" s="4"/>
      <x:c r="J79" s="4"/>
      <x:c r="K79" s="4"/>
      <x:c r="L79" s="4"/>
    </x:row>
    <x:row r="80" ht="19" customHeight="1">
      <x:c r="A80" s="1"/>
      <x:c r="B80" s="1"/>
      <x:c r="C80" s="4"/>
      <x:c r="D80" s="4"/>
      <x:c r="E80" s="4"/>
      <x:c r="F80" s="4"/>
      <x:c r="G80" s="4"/>
      <x:c r="H80" s="4"/>
      <x:c r="I80" s="4"/>
      <x:c r="J80" s="4"/>
      <x:c r="K80" s="4"/>
      <x:c r="L80" s="4"/>
    </x:row>
    <x:row r="81" ht="19" customHeight="1">
      <x:c r="A81" s="1"/>
      <x:c r="B81" s="1"/>
      <x:c r="C81" s="4"/>
      <x:c r="D81" s="4"/>
      <x:c r="E81" s="4"/>
      <x:c r="F81" s="4"/>
      <x:c r="G81" s="4"/>
      <x:c r="H81" s="4"/>
      <x:c r="I81" s="4"/>
      <x:c r="J81" s="4"/>
      <x:c r="K81" s="4"/>
      <x:c r="L81" s="4"/>
    </x:row>
    <x:row r="82" ht="19" customHeight="1">
      <x:c r="A82" s="1"/>
      <x:c r="B82" s="1"/>
      <x:c r="C82" s="4"/>
      <x:c r="D82" s="4"/>
      <x:c r="E82" s="4"/>
      <x:c r="F82" s="4"/>
      <x:c r="G82" s="4"/>
      <x:c r="H82" s="4"/>
      <x:c r="I82" s="4"/>
      <x:c r="J82" s="4"/>
      <x:c r="K82" s="4"/>
      <x:c r="L82" s="4"/>
    </x:row>
    <x:row r="83" ht="19" customHeight="1">
      <x:c r="A83" s="1"/>
      <x:c r="B83" s="1"/>
      <x:c r="C83" s="4"/>
      <x:c r="D83" s="4"/>
      <x:c r="E83" s="4"/>
      <x:c r="F83" s="4"/>
      <x:c r="G83" s="4"/>
      <x:c r="H83" s="4"/>
      <x:c r="I83" s="4"/>
      <x:c r="J83" s="4"/>
      <x:c r="K83" s="4"/>
      <x:c r="L83" s="4"/>
    </x:row>
    <x:row r="84" ht="19" customHeight="1">
      <x:c r="A84" s="1"/>
      <x:c r="B84" s="1"/>
      <x:c r="C84" s="4"/>
      <x:c r="D84" s="4"/>
      <x:c r="E84" s="4"/>
      <x:c r="F84" s="4"/>
      <x:c r="G84" s="4"/>
      <x:c r="H84" s="4"/>
      <x:c r="I84" s="4"/>
      <x:c r="J84" s="4"/>
      <x:c r="K84" s="4"/>
      <x:c r="L84" s="4"/>
    </x:row>
    <x:row r="85" ht="19" customHeight="1">
      <x:c r="A85" s="1"/>
      <x:c r="B85" s="1"/>
      <x:c r="C85" s="4"/>
      <x:c r="D85" s="4"/>
      <x:c r="E85" s="4"/>
      <x:c r="F85" s="4"/>
      <x:c r="G85" s="4"/>
      <x:c r="H85" s="4"/>
      <x:c r="I85" s="4"/>
      <x:c r="J85" s="4"/>
      <x:c r="K85" s="4"/>
      <x:c r="L85" s="4"/>
    </x:row>
    <x:row r="86" ht="19" customHeight="1">
      <x:c r="A86" s="1"/>
      <x:c r="B86" s="1"/>
      <x:c r="C86" s="4"/>
      <x:c r="D86" s="4"/>
      <x:c r="E86" s="4"/>
      <x:c r="F86" s="4"/>
      <x:c r="G86" s="4"/>
      <x:c r="H86" s="4"/>
      <x:c r="I86" s="4"/>
      <x:c r="J86" s="4"/>
      <x:c r="K86" s="4"/>
      <x:c r="L86" s="4"/>
    </x:row>
    <x:row r="87" ht="19" customHeight="1">
      <x:c r="A87" s="1"/>
      <x:c r="B87" s="1"/>
      <x:c r="C87" s="4"/>
      <x:c r="D87" s="4"/>
      <x:c r="E87" s="4"/>
      <x:c r="F87" s="4"/>
      <x:c r="G87" s="4"/>
      <x:c r="H87" s="4"/>
      <x:c r="I87" s="4"/>
      <x:c r="J87" s="4"/>
      <x:c r="K87" s="4"/>
      <x:c r="L87" s="4"/>
    </x:row>
    <x:row r="88" ht="19" customHeight="1">
      <x:c r="A88" s="1"/>
      <x:c r="B88" s="1"/>
      <x:c r="C88" s="4"/>
      <x:c r="D88" s="4"/>
      <x:c r="E88" s="4"/>
      <x:c r="F88" s="4"/>
      <x:c r="G88" s="4"/>
      <x:c r="H88" s="4"/>
      <x:c r="I88" s="4"/>
      <x:c r="J88" s="4"/>
      <x:c r="K88" s="4"/>
      <x:c r="L88" s="4"/>
    </x:row>
    <x:row r="89" ht="19" customHeight="1">
      <x:c r="A89" s="1"/>
      <x:c r="B89" s="1"/>
      <x:c r="C89" s="4"/>
      <x:c r="D89" s="4"/>
      <x:c r="E89" s="4"/>
      <x:c r="F89" s="4"/>
      <x:c r="G89" s="4"/>
      <x:c r="H89" s="4"/>
      <x:c r="I89" s="4"/>
      <x:c r="J89" s="4"/>
      <x:c r="K89" s="4"/>
      <x:c r="L89" s="4"/>
    </x:row>
    <x:row r="90" ht="19" customHeight="1">
      <x:c r="A90" s="1"/>
      <x:c r="B90" s="1"/>
      <x:c r="C90" s="4"/>
      <x:c r="D90" s="4"/>
      <x:c r="E90" s="4"/>
      <x:c r="F90" s="4"/>
      <x:c r="G90" s="4"/>
      <x:c r="H90" s="4"/>
      <x:c r="I90" s="4"/>
      <x:c r="J90" s="4"/>
      <x:c r="K90" s="4"/>
      <x:c r="L90" s="4"/>
    </x:row>
    <x:row r="91" ht="19" customHeight="1">
      <x:c r="A91" s="1"/>
      <x:c r="B91" s="1"/>
      <x:c r="C91" s="4"/>
      <x:c r="D91" s="4"/>
      <x:c r="E91" s="4"/>
      <x:c r="F91" s="4"/>
      <x:c r="G91" s="4"/>
      <x:c r="H91" s="4"/>
      <x:c r="I91" s="4"/>
      <x:c r="J91" s="4"/>
      <x:c r="K91" s="4"/>
      <x:c r="L91" s="4"/>
    </x:row>
    <x:row r="92" ht="19" customHeight="1">
      <x:c r="A92" s="1"/>
      <x:c r="B92" s="1"/>
      <x:c r="C92" s="4"/>
      <x:c r="D92" s="4"/>
      <x:c r="E92" s="4"/>
      <x:c r="F92" s="4"/>
      <x:c r="G92" s="4"/>
      <x:c r="H92" s="4"/>
      <x:c r="I92" s="4"/>
      <x:c r="J92" s="4"/>
      <x:c r="K92" s="4"/>
      <x:c r="L92" s="4"/>
    </x:row>
    <x:row r="93" ht="19" customHeight="1">
      <x:c r="A93" s="1"/>
      <x:c r="B93" s="1"/>
      <x:c r="C93" s="4"/>
      <x:c r="D93" s="4"/>
      <x:c r="E93" s="4"/>
      <x:c r="F93" s="4"/>
      <x:c r="G93" s="4"/>
      <x:c r="H93" s="4"/>
      <x:c r="I93" s="4"/>
      <x:c r="J93" s="4"/>
      <x:c r="K93" s="4"/>
      <x:c r="L93" s="4"/>
    </x:row>
    <x:row r="94" ht="19" customHeight="1">
      <x:c r="A94" s="1"/>
      <x:c r="B94" s="1"/>
      <x:c r="C94" s="4"/>
      <x:c r="D94" s="4"/>
      <x:c r="E94" s="4"/>
      <x:c r="F94" s="4"/>
      <x:c r="G94" s="4"/>
      <x:c r="H94" s="4"/>
      <x:c r="I94" s="4"/>
      <x:c r="J94" s="4"/>
      <x:c r="K94" s="4"/>
      <x:c r="L94" s="4"/>
    </x:row>
    <x:row r="95" ht="19" customHeight="1">
      <x:c r="A95" s="1"/>
      <x:c r="B95" s="1"/>
      <x:c r="C95" s="4"/>
      <x:c r="D95" s="4"/>
      <x:c r="E95" s="4"/>
      <x:c r="F95" s="4"/>
      <x:c r="G95" s="4"/>
      <x:c r="H95" s="4"/>
      <x:c r="I95" s="4"/>
      <x:c r="J95" s="4"/>
      <x:c r="K95" s="4"/>
      <x:c r="L95" s="4"/>
    </x:row>
    <x:row r="96" ht="19" customHeight="1">
      <x:c r="A96" s="1"/>
      <x:c r="B96" s="1"/>
      <x:c r="C96" s="4"/>
      <x:c r="D96" s="4"/>
      <x:c r="E96" s="4"/>
      <x:c r="F96" s="4"/>
      <x:c r="G96" s="4"/>
      <x:c r="H96" s="4"/>
      <x:c r="I96" s="4"/>
      <x:c r="J96" s="4"/>
      <x:c r="K96" s="4"/>
      <x:c r="L96" s="4"/>
    </x:row>
    <x:row r="97" ht="19" customHeight="1">
      <x:c r="A97" s="1"/>
      <x:c r="B97" s="1"/>
      <x:c r="C97" s="4"/>
      <x:c r="D97" s="4"/>
      <x:c r="E97" s="4"/>
      <x:c r="F97" s="4"/>
      <x:c r="G97" s="4"/>
      <x:c r="H97" s="4"/>
      <x:c r="I97" s="4"/>
      <x:c r="J97" s="4"/>
      <x:c r="K97" s="4"/>
      <x:c r="L97" s="4"/>
    </x:row>
    <x:row r="98" ht="19" customHeight="1">
      <x:c r="A98" s="1"/>
      <x:c r="B98" s="1"/>
      <x:c r="C98" s="4"/>
      <x:c r="D98" s="4"/>
      <x:c r="E98" s="4"/>
      <x:c r="F98" s="4"/>
      <x:c r="G98" s="4"/>
      <x:c r="H98" s="4"/>
      <x:c r="I98" s="4"/>
      <x:c r="J98" s="4"/>
      <x:c r="K98" s="4"/>
      <x:c r="L98" s="4"/>
    </x:row>
    <x:row r="99" ht="19" customHeight="1">
      <x:c r="A99" s="1"/>
      <x:c r="B99" s="1"/>
      <x:c r="C99" s="4"/>
      <x:c r="D99" s="4"/>
      <x:c r="E99" s="4"/>
      <x:c r="F99" s="4"/>
      <x:c r="G99" s="4"/>
      <x:c r="H99" s="4"/>
      <x:c r="I99" s="4"/>
      <x:c r="J99" s="4"/>
      <x:c r="K99" s="4"/>
      <x:c r="L99" s="4"/>
    </x:row>
    <x:row r="100" ht="19" customHeight="1">
      <x:c r="A100" s="1"/>
      <x:c r="B100" s="1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</x:row>
    <x:row r="101" ht="19" customHeight="1">
      <x:c r="A101" s="1"/>
      <x:c r="B101" s="1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</x:row>
    <x:row r="102" ht="19" customHeight="1">
      <x:c r="A102" s="1"/>
      <x:c r="B102" s="1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</x:row>
    <x:row r="103" ht="19" customHeight="1">
      <x:c r="A103" s="1"/>
      <x:c r="B103" s="1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</x:row>
    <x:row r="104" ht="19" customHeight="1">
      <x:c r="A104" s="1"/>
      <x:c r="B104" s="1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</x:row>
    <x:row r="105" ht="19" customHeight="1">
      <x:c r="A105" s="1"/>
      <x:c r="B105" s="1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</x:row>
    <x:row r="106" ht="19" customHeight="1">
      <x:c r="A106" s="1"/>
      <x:c r="B106" s="1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</x:row>
    <x:row r="107" ht="19" customHeight="1">
      <x:c r="A107" s="1"/>
      <x:c r="B107" s="1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</x:row>
    <x:row r="108" ht="19" customHeight="1">
      <x:c r="A108" s="1"/>
      <x:c r="B108" s="1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</x:row>
    <x:row r="109" ht="19" customHeight="1">
      <x:c r="A109" s="1"/>
      <x:c r="B109" s="1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</x:row>
    <x:row r="110" ht="19" customHeight="1">
      <x:c r="A110" s="1"/>
      <x:c r="B110" s="1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</x:row>
    <x:row r="111" ht="19" customHeight="1">
      <x:c r="A111" s="1"/>
      <x:c r="B111" s="1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</x:row>
    <x:row r="112" ht="19" customHeight="1">
      <x:c r="A112" s="1"/>
      <x:c r="B112" s="1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</x:row>
    <x:row r="113" ht="19" customHeight="1">
      <x:c r="A113" s="1"/>
      <x:c r="B113" s="1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</x:row>
    <x:row r="114" ht="19" customHeight="1">
      <x:c r="A114" s="1"/>
      <x:c r="B114" s="1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</x:row>
    <x:row r="115" ht="19" customHeight="1">
      <x:c r="A115" s="1"/>
      <x:c r="B115" s="1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</x:row>
    <x:row r="116" ht="19" customHeight="1">
      <x:c r="A116" s="1"/>
      <x:c r="B116" s="1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</x:row>
    <x:row r="117" ht="19" customHeight="1">
      <x:c r="A117" s="1"/>
      <x:c r="B117" s="1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</x:row>
    <x:row r="118" ht="19" customHeight="1">
      <x:c r="A118" s="1"/>
      <x:c r="B118" s="1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</x:row>
    <x:row r="119" ht="19" customHeight="1">
      <x:c r="A119" s="1"/>
      <x:c r="B119" s="1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</x:row>
    <x:row r="120" ht="19" customHeight="1">
      <x:c r="A120" s="1"/>
      <x:c r="B120" s="1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</x:row>
    <x:row r="121" ht="19" customHeight="1">
      <x:c r="A121" s="1"/>
      <x:c r="B121" s="1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</x:row>
    <x:row r="122" ht="19" customHeight="1">
      <x:c r="A122" s="1"/>
      <x:c r="B122" s="1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</x:row>
    <x:row r="123" ht="19" customHeight="1">
      <x:c r="A123" s="1"/>
      <x:c r="B123" s="1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</x:row>
    <x:row r="124" ht="19" customHeight="1">
      <x:c r="A124" s="1"/>
      <x:c r="B124" s="1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</x:row>
    <x:row r="125" ht="19" customHeight="1">
      <x:c r="A125" s="1"/>
      <x:c r="B125" s="1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</x:row>
  </x:sheetData>
  <x:mergeCells>
    <x:mergeCell ref="A73:L73"/>
    <x:mergeCell ref="A75:L7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2F343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6" hidden="0" customWidth="1"/>
    <x:col min="2" max="2" width="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8" customHeight="1">
      <x:c r="A1" s="88" t="str">
        <x:v>Income Statement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</x:row>
    <x:row r="2" ht="19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9" customHeight="1">
      <x:c r="A3" s="1" t="str">
        <x:v>Pricol Limited | Consolidated | INR crore, except per-share data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19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19" customHeight="1">
      <x:c r="A5" s="91" t="str">
        <x:v>Metric</x:v>
      </x:c>
      <x:c r="B5" s="91"/>
      <x:c r="C5" s="91" t="str">
        <x:v>FY2022A</x:v>
      </x:c>
      <x:c r="D5" s="91" t="str">
        <x:v>FY2023A</x:v>
      </x:c>
      <x:c r="E5" s="91" t="str">
        <x:v>FY2024A</x:v>
      </x:c>
      <x:c r="F5" s="91" t="str">
        <x:v>FY2025A</x:v>
      </x:c>
      <x:c r="G5" s="91" t="str">
        <x:v>FY2026A</x:v>
      </x:c>
      <x:c r="H5" s="91" t="str">
        <x:v>FY2027E</x:v>
      </x:c>
      <x:c r="I5" s="91" t="str">
        <x:v>FY2028E</x:v>
      </x:c>
      <x:c r="J5" s="91" t="str">
        <x:v>FY2029E</x:v>
      </x:c>
      <x:c r="K5" s="91" t="str">
        <x:v>FY2030E</x:v>
      </x:c>
      <x:c r="L5" s="91" t="str">
        <x:v>FY2031E</x:v>
      </x:c>
    </x:row>
    <x:row r="6" ht="19" customHeight="1">
      <x:c r="A6" s="1"/>
      <x:c r="B6" s="1"/>
      <x:c r="C6" s="4"/>
      <x:c r="D6" s="4"/>
      <x:c r="E6" s="4"/>
      <x:c r="F6" s="4"/>
      <x:c r="G6" s="4"/>
      <x:c r="H6" s="4"/>
      <x:c r="I6" s="4"/>
      <x:c r="J6" s="4"/>
      <x:c r="K6" s="4"/>
      <x:c r="L6" s="4"/>
    </x:row>
    <x:row r="7" ht="19" customHeight="1">
      <x:c r="A7" s="94" t="str">
        <x:v>Profit and loss</x:v>
      </x:c>
      <x:c r="B7" s="94"/>
      <x:c r="C7" s="95"/>
      <x:c r="D7" s="95"/>
      <x:c r="E7" s="95"/>
      <x:c r="F7" s="95"/>
      <x:c r="G7" s="95"/>
      <x:c r="H7" s="95"/>
      <x:c r="I7" s="95"/>
      <x:c r="J7" s="95"/>
      <x:c r="K7" s="95"/>
      <x:c r="L7" s="95"/>
    </x:row>
    <x:row r="8" ht="19" customHeight="1">
      <x:c r="A8" s="1" t="str">
        <x:v>Revenue including other operating revenue</x:v>
      </x:c>
      <x:c r="B8" s="1"/>
      <x:c r="C8" s="26" t="n">
        <x:f>'02_Raw_Financials'!C8</x:f>
        <x:v>1544.6929</x:v>
      </x:c>
      <x:c r="D8" s="26" t="n">
        <x:f>'02_Raw_Financials'!D8</x:f>
        <x:v>1958.5607</x:v>
      </x:c>
      <x:c r="E8" s="26" t="n">
        <x:f>'02_Raw_Financials'!E8</x:f>
        <x:v>2271.7823</x:v>
      </x:c>
      <x:c r="F8" s="26" t="n">
        <x:f>'02_Raw_Financials'!F8</x:f>
        <x:v>2691.92</x:v>
      </x:c>
      <x:c r="G8" s="26" t="n">
        <x:f>'02_Raw_Financials'!G8</x:f>
        <x:v>4040.8</x:v>
      </x:c>
      <x:c r="H8" s="26" t="n">
        <x:f>'06_Schedules'!H10</x:f>
        <x:v>4392.7660000000005</x:v>
      </x:c>
      <x:c r="I8" s="26" t="n">
        <x:f>'06_Schedules'!I10</x:f>
        <x:v>4877.140100000001</x:v>
      </x:c>
      <x:c r="J8" s="26" t="n">
        <x:f>'06_Schedules'!J10</x:f>
        <x:v>5378.317259000001</x:v>
      </x:c>
      <x:c r="K8" s="26" t="n">
        <x:f>'06_Schedules'!K10</x:f>
        <x:v>5856.295794720002</x:v>
      </x:c>
      <x:c r="L8" s="26" t="n">
        <x:f>'06_Schedules'!L10</x:f>
        <x:v>6306.315550550403</x:v>
      </x:c>
    </x:row>
    <x:row r="9" ht="19" customHeight="1">
      <x:c r="A9" s="1" t="str">
        <x:v>Other income</x:v>
      </x:c>
      <x:c r="B9" s="1"/>
      <x:c r="C9" s="26" t="n">
        <x:f>'02_Raw_Financials'!C9</x:f>
        <x:v>8.8206</x:v>
      </x:c>
      <x:c r="D9" s="26" t="n">
        <x:f>'02_Raw_Financials'!D9</x:f>
        <x:v>4.5853</x:v>
      </x:c>
      <x:c r="E9" s="26" t="n">
        <x:f>'02_Raw_Financials'!E9</x:f>
        <x:v>13.1583</x:v>
      </x:c>
      <x:c r="F9" s="26" t="n">
        <x:f>'02_Raw_Financials'!F9</x:f>
        <x:v>16.64</x:v>
      </x:c>
      <x:c r="G9" s="26" t="n">
        <x:f>'02_Raw_Financials'!G9</x:f>
        <x:v>11.57</x:v>
      </x:c>
      <x:c r="H9" s="26" t="n">
        <x:f>H8*'05_Assumptions'!H15</x:f>
        <x:v>10.981915</x:v>
      </x:c>
      <x:c r="I9" s="26" t="n">
        <x:f>I8*'05_Assumptions'!I15</x:f>
        <x:v>12.192850250000005</x:v>
      </x:c>
      <x:c r="J9" s="26" t="n">
        <x:f>J8*'05_Assumptions'!J15</x:f>
        <x:v>13.445793147500003</x:v>
      </x:c>
      <x:c r="K9" s="26" t="n">
        <x:f>K8*'05_Assumptions'!K15</x:f>
        <x:v>14.640739486800005</x:v>
      </x:c>
      <x:c r="L9" s="26" t="n">
        <x:f>L8*'05_Assumptions'!L15</x:f>
        <x:v>15.765788876376007</x:v>
      </x:c>
    </x:row>
    <x:row r="10" ht="19" customHeight="1">
      <x:c r="A10" s="74" t="str">
        <x:v>Total income</x:v>
      </x:c>
      <x:c r="B10" s="74"/>
      <x:c r="C10" s="78" t="n">
        <x:f>SUM(C8:C9)</x:f>
        <x:v>1553.5135</x:v>
      </x:c>
      <x:c r="D10" s="78" t="n">
        <x:f>SUM(D8:D9)</x:f>
        <x:v>1963.146</x:v>
      </x:c>
      <x:c r="E10" s="78" t="n">
        <x:f>SUM(E8:E9)</x:f>
        <x:v>2284.9406</x:v>
      </x:c>
      <x:c r="F10" s="78" t="n">
        <x:f>SUM(F8:F9)</x:f>
        <x:v>2708.56</x:v>
      </x:c>
      <x:c r="G10" s="78" t="n">
        <x:f>SUM(G8:G9)</x:f>
        <x:v>4052.3700000000003</x:v>
      </x:c>
      <x:c r="H10" s="78" t="n">
        <x:f>SUM(H8:H9)</x:f>
        <x:v>4403.747915000001</x:v>
      </x:c>
      <x:c r="I10" s="78" t="n">
        <x:f>SUM(I8:I9)</x:f>
        <x:v>4889.332950250002</x:v>
      </x:c>
      <x:c r="J10" s="78" t="n">
        <x:f>SUM(J8:J9)</x:f>
        <x:v>5391.763052147501</x:v>
      </x:c>
      <x:c r="K10" s="78" t="n">
        <x:f>SUM(K8:K9)</x:f>
        <x:v>5870.936534206802</x:v>
      </x:c>
      <x:c r="L10" s="78" t="n">
        <x:f>SUM(L8:L9)</x:f>
        <x:v>6322.081339426779</x:v>
      </x:c>
    </x:row>
    <x:row r="11" ht="19" customHeight="1">
      <x:c r="A11" s="1" t="str">
        <x:v>Operating expenses excluding D&amp;A</x:v>
      </x:c>
      <x:c r="B11" s="1"/>
      <x:c r="C11" s="26" t="n">
        <x:f>'02_Raw_Financials'!C11</x:f>
        <x:v>1364.1128</x:v>
      </x:c>
      <x:c r="D11" s="26" t="n">
        <x:f>'02_Raw_Financials'!D11</x:f>
        <x:v>1730.0857</x:v>
      </x:c>
      <x:c r="E11" s="26" t="n">
        <x:f>'02_Raw_Financials'!E11</x:f>
        <x:v>1998.7254</x:v>
      </x:c>
      <x:c r="F11" s="26" t="n">
        <x:f>'02_Raw_Financials'!F11</x:f>
        <x:v>2379.03</x:v>
      </x:c>
      <x:c r="G11" s="26" t="n">
        <x:f>'02_Raw_Financials'!G11</x:f>
        <x:v>3571.43</x:v>
      </x:c>
      <x:c r="H11" s="4" t="n">
        <x:f>H8-H18</x:f>
        <x:v>3896.3834420000003</x:v>
      </x:c>
      <x:c r="I11" s="4" t="n">
        <x:f>I8-I18</x:f>
        <x:v>4316.268988500001</x:v>
      </x:c>
      <x:c r="J11" s="4" t="n">
        <x:f>J8-J18</x:f>
        <x:v>4749.054139697001</x:v>
      </x:c>
      <x:c r="K11" s="4" t="n">
        <x:f>K8-K18</x:f>
        <x:v>5165.252890943042</x:v>
      </x:c>
      <x:c r="L11" s="4" t="n">
        <x:f>L8-L18</x:f>
        <x:v>5562.170315585456</x:v>
      </x:c>
    </x:row>
    <x:row r="12" ht="19" customHeight="1">
      <x:c r="A12" s="1" t="str">
        <x:v>Depreciation and amortisation</x:v>
      </x:c>
      <x:c r="B12" s="1"/>
      <x:c r="C12" s="26" t="n">
        <x:f>'02_Raw_Financials'!C12</x:f>
        <x:v>81.839</x:v>
      </x:c>
      <x:c r="D12" s="26" t="n">
        <x:f>'02_Raw_Financials'!D12</x:f>
        <x:v>77.9078</x:v>
      </x:c>
      <x:c r="E12" s="26" t="n">
        <x:f>'02_Raw_Financials'!E12</x:f>
        <x:v>82.0606</x:v>
      </x:c>
      <x:c r="F12" s="26" t="n">
        <x:f>'02_Raw_Financials'!F12</x:f>
        <x:v>89.75</x:v>
      </x:c>
      <x:c r="G12" s="26" t="n">
        <x:f>'02_Raw_Financials'!G12</x:f>
        <x:v>119.96</x:v>
      </x:c>
      <x:c r="H12" s="26" t="n">
        <x:f>'06_Schedules'!H70</x:f>
        <x:v>121.18394999999998</x:v>
      </x:c>
      <x:c r="I12" s="26" t="n">
        <x:f>'06_Schedules'!I70</x:f>
        <x:v>140.8480395</x:v>
      </x:c>
      <x:c r="J12" s="26" t="n">
        <x:f>'06_Schedules'!J70</x:f>
        <x:v>156.803534445</x:v>
      </x:c>
      <x:c r="K12" s="26" t="n">
        <x:f>'06_Schedules'!K70</x:f>
        <x:v>169.11019239495</x:v>
      </x:c>
      <x:c r="L12" s="26" t="n">
        <x:f>'06_Schedules'!L70</x:f>
        <x:v>171.13758654440448</x:v>
      </x:c>
    </x:row>
    <x:row r="13" ht="19" customHeight="1">
      <x:c r="A13" s="1" t="str">
        <x:v>Finance costs</x:v>
      </x:c>
      <x:c r="B13" s="1"/>
      <x:c r="C13" s="26" t="n">
        <x:f>'02_Raw_Financials'!C13</x:f>
        <x:v>27.2823</x:v>
      </x:c>
      <x:c r="D13" s="26" t="n">
        <x:f>'02_Raw_Financials'!D13</x:f>
        <x:v>18.2825</x:v>
      </x:c>
      <x:c r="E13" s="26" t="n">
        <x:f>'02_Raw_Financials'!E13</x:f>
        <x:v>18.25</x:v>
      </x:c>
      <x:c r="F13" s="26" t="n">
        <x:f>'02_Raw_Financials'!F13</x:f>
        <x:v>13.17</x:v>
      </x:c>
      <x:c r="G13" s="26" t="n">
        <x:f>'02_Raw_Financials'!G13</x:f>
        <x:v>30.04</x:v>
      </x:c>
      <x:c r="H13" s="26" t="n">
        <x:f>'06_Schedules'!H52+'06_Schedules'!H45</x:f>
        <x:v>31.822599999999998</x:v>
      </x:c>
      <x:c r="I13" s="26" t="n">
        <x:f>'06_Schedules'!I52+'06_Schedules'!I45</x:f>
        <x:v>34.73294453568321</x:v>
      </x:c>
      <x:c r="J13" s="26" t="n">
        <x:f>'06_Schedules'!J52+'06_Schedules'!J45</x:f>
        <x:v>37.162082042920176</x:v>
      </x:c>
      <x:c r="K13" s="26" t="n">
        <x:f>'06_Schedules'!K52+'06_Schedules'!K45</x:f>
        <x:v>29.15489810089832</x:v>
      </x:c>
      <x:c r="L13" s="26" t="n">
        <x:f>'06_Schedules'!L52+'06_Schedules'!L45</x:f>
        <x:v>17.259389500988817</x:v>
      </x:c>
    </x:row>
    <x:row r="14" ht="19" customHeight="1">
      <x:c r="A14" s="74" t="str">
        <x:v>Profit before tax</x:v>
      </x:c>
      <x:c r="B14" s="74"/>
      <x:c r="C14" s="78" t="n">
        <x:f>C19+C9-C13+C20</x:f>
        <x:v>80.2793999999999</x:v>
      </x:c>
      <x:c r="D14" s="78" t="n">
        <x:f>D19+D9-D13+D20</x:f>
        <x:v>146.6199999999999</x:v>
      </x:c>
      <x:c r="E14" s="78" t="n">
        <x:f>E19+E9-E13+E20</x:f>
        <x:v>185.90459999999982</x:v>
      </x:c>
      <x:c r="F14" s="78" t="n">
        <x:f>F19+F9-F13+F20</x:f>
        <x:v>226.60999999999987</x:v>
      </x:c>
      <x:c r="G14" s="78" t="n">
        <x:f>G19+G9-G13+G20</x:f>
        <x:v>330.94000000000034</x:v>
      </x:c>
      <x:c r="H14" s="78" t="n">
        <x:f>H19+H9-H13+H20</x:f>
        <x:v>354.3579230000001</x:v>
      </x:c>
      <x:c r="I14" s="78" t="n">
        <x:f>I19+I9-I13+I20</x:f>
        <x:v>397.482977714317</x:v>
      </x:c>
      <x:c r="J14" s="78" t="n">
        <x:f>J19+J9-J13+J20</x:f>
        <x:v>448.74329596258</x:v>
      </x:c>
      <x:c r="K14" s="78" t="n">
        <x:f>K19+K9-K13+K20</x:f>
        <x:v>507.41855276791193</x:v>
      </x:c>
      <x:c r="L14" s="78" t="n">
        <x:f>L19+L9-L13+L20</x:f>
        <x:v>571.5140477959301</x:v>
      </x:c>
    </x:row>
    <x:row r="15" ht="19" customHeight="1">
      <x:c r="A15" s="1" t="str">
        <x:v>Tax expense</x:v>
      </x:c>
      <x:c r="B15" s="1"/>
      <x:c r="C15" s="26" t="n">
        <x:f>'02_Raw_Financials'!C15</x:f>
        <x:v>29.185700000000004</x:v>
      </x:c>
      <x:c r="D15" s="26" t="n">
        <x:f>'02_Raw_Financials'!D15</x:f>
        <x:v>21.934700000000003</x:v>
      </x:c>
      <x:c r="E15" s="26" t="n">
        <x:f>'02_Raw_Financials'!E15</x:f>
        <x:v>45.293099999999995</x:v>
      </x:c>
      <x:c r="F15" s="26" t="n">
        <x:f>'02_Raw_Financials'!F15</x:f>
        <x:v>59.580000000000005</x:v>
      </x:c>
      <x:c r="G15" s="26" t="n">
        <x:f>'02_Raw_Financials'!G15</x:f>
        <x:v>80.14</x:v>
      </x:c>
      <x:c r="H15" s="26" t="n">
        <x:f>MAX(0,H14)*'05_Assumptions'!H14</x:f>
        <x:v>88.58948075000002</x:v>
      </x:c>
      <x:c r="I15" s="26" t="n">
        <x:f>MAX(0,I14)*'05_Assumptions'!I14</x:f>
        <x:v>99.37074442857924</x:v>
      </x:c>
      <x:c r="J15" s="26" t="n">
        <x:f>MAX(0,J14)*'05_Assumptions'!J14</x:f>
        <x:v>112.185823990645</x:v>
      </x:c>
      <x:c r="K15" s="26" t="n">
        <x:f>MAX(0,K14)*'05_Assumptions'!K14</x:f>
        <x:v>126.85463819197798</x:v>
      </x:c>
      <x:c r="L15" s="26" t="n">
        <x:f>MAX(0,L14)*'05_Assumptions'!L14</x:f>
        <x:v>142.87851194898252</x:v>
      </x:c>
    </x:row>
    <x:row r="16" ht="19" customHeight="1">
      <x:c r="A16" s="74" t="str">
        <x:v>Profit after tax</x:v>
      </x:c>
      <x:c r="B16" s="74"/>
      <x:c r="C16" s="78" t="n">
        <x:f>C14-C15</x:f>
        <x:v>51.09369999999989</x:v>
      </x:c>
      <x:c r="D16" s="78" t="n">
        <x:f>D14-D15</x:f>
        <x:v>124.68529999999988</x:v>
      </x:c>
      <x:c r="E16" s="78" t="n">
        <x:f>E14-E15</x:f>
        <x:v>140.6114999999998</x:v>
      </x:c>
      <x:c r="F16" s="78" t="n">
        <x:f>F14-F15</x:f>
        <x:v>167.02999999999986</x:v>
      </x:c>
      <x:c r="G16" s="78" t="n">
        <x:f>G14-G15</x:f>
        <x:v>250.80000000000035</x:v>
      </x:c>
      <x:c r="H16" s="78" t="n">
        <x:f>H14-H15</x:f>
        <x:v>265.7684422500001</x:v>
      </x:c>
      <x:c r="I16" s="78" t="n">
        <x:f>I14-I15</x:f>
        <x:v>298.1122332857377</x:v>
      </x:c>
      <x:c r="J16" s="78" t="n">
        <x:f>J14-J15</x:f>
        <x:v>336.557471971935</x:v>
      </x:c>
      <x:c r="K16" s="78" t="n">
        <x:f>K14-K15</x:f>
        <x:v>380.56391457593395</x:v>
      </x:c>
      <x:c r="L16" s="78" t="n">
        <x:f>L14-L15</x:f>
        <x:v>428.63553584694756</x:v>
      </x:c>
    </x:row>
    <x:row r="17" ht="19" customHeight="1">
      <x:c r="A17" s="1" t="str">
        <x:v>Profit attributable to owners</x:v>
      </x:c>
      <x:c r="B17" s="1"/>
      <x:c r="C17" s="4" t="n">
        <x:f>C16</x:f>
        <x:v>51.09369999999989</x:v>
      </x:c>
      <x:c r="D17" s="4" t="n">
        <x:f>D16</x:f>
        <x:v>124.68529999999988</x:v>
      </x:c>
      <x:c r="E17" s="4" t="n">
        <x:f>E16</x:f>
        <x:v>140.6114999999998</x:v>
      </x:c>
      <x:c r="F17" s="4" t="n">
        <x:f>F16</x:f>
        <x:v>167.02999999999986</x:v>
      </x:c>
      <x:c r="G17" s="4" t="n">
        <x:f>G16</x:f>
        <x:v>250.80000000000035</x:v>
      </x:c>
      <x:c r="H17" s="4" t="n">
        <x:f>H16</x:f>
        <x:v>265.7684422500001</x:v>
      </x:c>
      <x:c r="I17" s="4" t="n">
        <x:f>I16</x:f>
        <x:v>298.1122332857377</x:v>
      </x:c>
      <x:c r="J17" s="4" t="n">
        <x:f>J16</x:f>
        <x:v>336.557471971935</x:v>
      </x:c>
      <x:c r="K17" s="4" t="n">
        <x:f>K16</x:f>
        <x:v>380.56391457593395</x:v>
      </x:c>
      <x:c r="L17" s="4" t="n">
        <x:f>L16</x:f>
        <x:v>428.63553584694756</x:v>
      </x:c>
    </x:row>
    <x:row r="18" ht="19" customHeight="1">
      <x:c r="A18" s="74" t="str">
        <x:v>Operating EBITDA</x:v>
      </x:c>
      <x:c r="B18" s="74"/>
      <x:c r="C18" s="80" t="n">
        <x:f>'02_Raw_Financials'!C18</x:f>
        <x:v>180.5800999999999</x:v>
      </x:c>
      <x:c r="D18" s="80" t="n">
        <x:f>'02_Raw_Financials'!D18</x:f>
        <x:v>228.4749999999999</x:v>
      </x:c>
      <x:c r="E18" s="80" t="n">
        <x:f>'02_Raw_Financials'!E18</x:f>
        <x:v>273.0568999999998</x:v>
      </x:c>
      <x:c r="F18" s="80" t="n">
        <x:f>'02_Raw_Financials'!F18</x:f>
        <x:v>312.8899999999999</x:v>
      </x:c>
      <x:c r="G18" s="80" t="n">
        <x:f>'02_Raw_Financials'!G18</x:f>
        <x:v>469.37000000000035</x:v>
      </x:c>
      <x:c r="H18" s="80" t="n">
        <x:f>H8*'05_Assumptions'!H10</x:f>
        <x:v>496.3825580000001</x:v>
      </x:c>
      <x:c r="I18" s="80" t="n">
        <x:f>I8*'05_Assumptions'!I10</x:f>
        <x:v>560.8711115000002</x:v>
      </x:c>
      <x:c r="J18" s="80" t="n">
        <x:f>J8*'05_Assumptions'!J10</x:f>
        <x:v>629.2631193030002</x:v>
      </x:c>
      <x:c r="K18" s="80" t="n">
        <x:f>K8*'05_Assumptions'!K10</x:f>
        <x:v>691.0429037769602</x:v>
      </x:c>
      <x:c r="L18" s="80" t="n">
        <x:f>L8*'05_Assumptions'!L10</x:f>
        <x:v>744.1452349649475</x:v>
      </x:c>
    </x:row>
    <x:row r="19" ht="19" customHeight="1">
      <x:c r="A19" s="74" t="str">
        <x:v>Operating EBIT</x:v>
      </x:c>
      <x:c r="B19" s="74"/>
      <x:c r="C19" s="80" t="n">
        <x:f>'02_Raw_Financials'!C19</x:f>
        <x:v>98.7410999999999</x:v>
      </x:c>
      <x:c r="D19" s="80" t="n">
        <x:f>'02_Raw_Financials'!D19</x:f>
        <x:v>150.5671999999999</x:v>
      </x:c>
      <x:c r="E19" s="80" t="n">
        <x:f>'02_Raw_Financials'!E19</x:f>
        <x:v>190.99629999999982</x:v>
      </x:c>
      <x:c r="F19" s="80" t="n">
        <x:f>'02_Raw_Financials'!F19</x:f>
        <x:v>223.13999999999987</x:v>
      </x:c>
      <x:c r="G19" s="80" t="n">
        <x:f>'02_Raw_Financials'!G19</x:f>
        <x:v>349.41000000000037</x:v>
      </x:c>
      <x:c r="H19" s="78" t="n">
        <x:f>H18-H12</x:f>
        <x:v>375.1986080000001</x:v>
      </x:c>
      <x:c r="I19" s="78" t="n">
        <x:f>I18-I12</x:f>
        <x:v>420.0230720000002</x:v>
      </x:c>
      <x:c r="J19" s="78" t="n">
        <x:f>J18-J12</x:f>
        <x:v>472.4595848580002</x:v>
      </x:c>
      <x:c r="K19" s="78" t="n">
        <x:f>K18-K12</x:f>
        <x:v>521.9327113820102</x:v>
      </x:c>
      <x:c r="L19" s="78" t="n">
        <x:f>L18-L12</x:f>
        <x:v>573.007648420543</x:v>
      </x:c>
    </x:row>
    <x:row r="20" ht="19" customHeight="1">
      <x:c r="A20" s="1" t="str">
        <x:v>Exceptional income</x:v>
      </x:c>
      <x:c r="B20" s="1"/>
      <x:c r="C20" s="26" t="n">
        <x:f>'02_Raw_Financials'!C20</x:f>
        <x:v>0</x:v>
      </x:c>
      <x:c r="D20" s="26" t="n">
        <x:f>'02_Raw_Financials'!D20</x:f>
        <x:v>9.75</x:v>
      </x:c>
      <x:c r="E20" s="26" t="n">
        <x:f>'02_Raw_Financials'!E20</x:f>
        <x:v>0</x:v>
      </x:c>
      <x:c r="F20" s="26" t="n">
        <x:f>'02_Raw_Financials'!F20</x:f>
        <x:v>0</x:v>
      </x:c>
      <x:c r="G20" s="26" t="n">
        <x:f>'02_Raw_Financials'!G20</x:f>
        <x:v>0</x:v>
      </x:c>
      <x:c r="H20" s="4" t="n">
        <x:f>0</x:f>
        <x:v>0</x:v>
      </x:c>
      <x:c r="I20" s="4" t="n">
        <x:f>0</x:f>
        <x:v>0</x:v>
      </x:c>
      <x:c r="J20" s="4" t="n">
        <x:f>0</x:f>
        <x:v>0</x:v>
      </x:c>
      <x:c r="K20" s="4" t="n">
        <x:f>0</x:f>
        <x:v>0</x:v>
      </x:c>
      <x:c r="L20" s="4" t="n">
        <x:f>0</x:f>
        <x:v>0</x:v>
      </x:c>
    </x:row>
    <x:row r="21" ht="19" customHeight="1">
      <x:c r="A21" s="1"/>
      <x:c r="B21" s="1"/>
      <x:c r="C21" s="4"/>
      <x:c r="D21" s="4"/>
      <x:c r="E21" s="4"/>
      <x:c r="F21" s="4"/>
      <x:c r="G21" s="4"/>
      <x:c r="H21" s="4"/>
      <x:c r="I21" s="4"/>
      <x:c r="J21" s="4"/>
      <x:c r="K21" s="4"/>
      <x:c r="L21" s="4"/>
    </x:row>
    <x:row r="22" ht="19" customHeight="1">
      <x:c r="A22" s="1"/>
      <x:c r="B22" s="1"/>
      <x:c r="C22" s="4"/>
      <x:c r="D22" s="4"/>
      <x:c r="E22" s="4"/>
      <x:c r="F22" s="4"/>
      <x:c r="G22" s="4"/>
      <x:c r="H22" s="4"/>
      <x:c r="I22" s="4"/>
      <x:c r="J22" s="4"/>
      <x:c r="K22" s="4"/>
      <x:c r="L22" s="4"/>
    </x:row>
    <x:row r="23" ht="19" customHeight="1">
      <x:c r="A23" s="1"/>
      <x:c r="B23" s="1"/>
      <x:c r="C23" s="4"/>
      <x:c r="D23" s="4"/>
      <x:c r="E23" s="4"/>
      <x:c r="F23" s="4"/>
      <x:c r="G23" s="4"/>
      <x:c r="H23" s="4"/>
      <x:c r="I23" s="4"/>
      <x:c r="J23" s="4"/>
      <x:c r="K23" s="4"/>
      <x:c r="L23" s="4"/>
    </x:row>
    <x:row r="24" ht="19" customHeight="1">
      <x:c r="A24" s="1" t="str">
        <x:v>Operating EBITDA margin</x:v>
      </x:c>
      <x:c r="B24" s="1"/>
      <x:c r="C24" s="27" t="n">
        <x:f>C18/C8</x:f>
        <x:v>0.11690356057181327</x:v>
      </x:c>
      <x:c r="D24" s="27" t="n">
        <x:f>D18/D8</x:f>
        <x:v>0.11665454126594081</x:v>
      </x:c>
      <x:c r="E24" s="27" t="n">
        <x:f>E18/E8</x:f>
        <x:v>0.12019501164350116</x:v>
      </x:c>
      <x:c r="F24" s="27" t="n">
        <x:f>F18/F8</x:f>
        <x:v>0.1162330232696365</x:v>
      </x:c>
      <x:c r="G24" s="27" t="n">
        <x:f>G18/G8</x:f>
        <x:v>0.11615769154622856</x:v>
      </x:c>
      <x:c r="H24" s="27" t="n">
        <x:f>H18/H8</x:f>
        <x:v>0.113</x:v>
      </x:c>
      <x:c r="I24" s="27" t="n">
        <x:f>I18/I8</x:f>
        <x:v>0.115</x:v>
      </x:c>
      <x:c r="J24" s="27" t="n">
        <x:f>J18/J8</x:f>
        <x:v>0.117</x:v>
      </x:c>
      <x:c r="K24" s="27" t="n">
        <x:f>K18/K8</x:f>
        <x:v>0.118</x:v>
      </x:c>
      <x:c r="L24" s="27" t="n">
        <x:f>L18/L8</x:f>
        <x:v>0.118</x:v>
      </x:c>
    </x:row>
    <x:row r="25" ht="19" customHeight="1">
      <x:c r="A25" s="1" t="str">
        <x:v>Net profit margin</x:v>
      </x:c>
      <x:c r="B25" s="1"/>
      <x:c r="C25" s="27" t="n">
        <x:f>C16/C8</x:f>
        <x:v>0.03307693069606256</x:v>
      </x:c>
      <x:c r="D25" s="27" t="n">
        <x:f>D16/D8</x:f>
        <x:v>0.06366169810310188</x:v>
      </x:c>
      <x:c r="E25" s="27" t="n">
        <x:f>E16/E8</x:f>
        <x:v>0.061894795113070396</x:v>
      </x:c>
      <x:c r="F25" s="27" t="n">
        <x:f>F16/F8</x:f>
        <x:v>0.06204864929121216</x:v>
      </x:c>
      <x:c r="G25" s="27" t="n">
        <x:f>G16/G8</x:f>
        <x:v>0.06206691744209076</x:v>
      </x:c>
      <x:c r="H25" s="27" t="n">
        <x:f>H16/H8</x:f>
        <x:v>0.060501388475962536</x:v>
      </x:c>
      <x:c r="I25" s="27" t="n">
        <x:f>I16/I8</x:f>
        <x:v>0.06112439404513675</x:v>
      </x:c>
      <x:c r="J25" s="27" t="n">
        <x:f>J16/J8</x:f>
        <x:v>0.06257672349260253</x:v>
      </x:c>
      <x:c r="K25" s="27" t="n">
        <x:f>K16/K8</x:f>
        <x:v>0.06498372485198714</x:v>
      </x:c>
      <x:c r="L25" s="27" t="n">
        <x:f>L16/L8</x:f>
        <x:v>0.06796924962144292</x:v>
      </x:c>
    </x:row>
    <x:row r="26" ht="19" customHeight="1">
      <x:c r="A26" s="1"/>
      <x:c r="B26" s="1"/>
      <x:c r="C26" s="4"/>
      <x:c r="D26" s="4"/>
      <x:c r="E26" s="4"/>
      <x:c r="F26" s="4"/>
      <x:c r="G26" s="4"/>
      <x:c r="H26" s="4"/>
      <x:c r="I26" s="4"/>
      <x:c r="J26" s="4"/>
      <x:c r="K26" s="4"/>
      <x:c r="L26" s="4"/>
    </x:row>
    <x:row r="27" ht="19" customHeight="1">
      <x:c r="A27" s="1"/>
      <x:c r="B27" s="1"/>
      <x:c r="C27" s="4"/>
      <x:c r="D27" s="4"/>
      <x:c r="E27" s="4"/>
      <x:c r="F27" s="4"/>
      <x:c r="G27" s="4"/>
      <x:c r="H27" s="4"/>
      <x:c r="I27" s="4"/>
      <x:c r="J27" s="4"/>
      <x:c r="K27" s="4"/>
      <x:c r="L27" s="4"/>
    </x:row>
    <x:row r="28" ht="19" customHeight="1">
      <x:c r="A28" s="1" t="str">
        <x:v>PBT vs annual report</x:v>
      </x:c>
      <x:c r="B28" s="1"/>
      <x:c r="C28" s="86" t="n">
        <x:f>ROUND(C14-'02_Raw_Financials'!C14,8)</x:f>
        <x:v>0</x:v>
      </x:c>
      <x:c r="D28" s="86" t="n">
        <x:f>ROUND(D14-'02_Raw_Financials'!D14,8)</x:f>
        <x:v>0</x:v>
      </x:c>
      <x:c r="E28" s="86" t="n">
        <x:f>ROUND(E14-'02_Raw_Financials'!E14,8)</x:f>
        <x:v>0</x:v>
      </x:c>
      <x:c r="F28" s="86" t="n">
        <x:f>ROUND(F14-'02_Raw_Financials'!F14,8)</x:f>
        <x:v>0</x:v>
      </x:c>
      <x:c r="G28" s="86" t="n">
        <x:f>ROUND(G14-'02_Raw_Financials'!G14,8)</x:f>
        <x:v>0</x:v>
      </x:c>
      <x:c r="H28" s="4"/>
      <x:c r="I28" s="4"/>
      <x:c r="J28" s="4"/>
      <x:c r="K28" s="4"/>
      <x:c r="L28" s="4"/>
    </x:row>
    <x:row r="29" ht="19" customHeight="1">
      <x:c r="A29" s="1" t="str">
        <x:v>PAT vs annual report</x:v>
      </x:c>
      <x:c r="B29" s="1"/>
      <x:c r="C29" s="86" t="n">
        <x:f>ROUND(C16-'02_Raw_Financials'!C16,8)</x:f>
        <x:v>0</x:v>
      </x:c>
      <x:c r="D29" s="86" t="n">
        <x:f>ROUND(D16-'02_Raw_Financials'!D16,8)</x:f>
        <x:v>0</x:v>
      </x:c>
      <x:c r="E29" s="86" t="n">
        <x:f>ROUND(E16-'02_Raw_Financials'!E16,8)</x:f>
        <x:v>0</x:v>
      </x:c>
      <x:c r="F29" s="86" t="n">
        <x:f>ROUND(F16-'02_Raw_Financials'!F16,8)</x:f>
        <x:v>0</x:v>
      </x:c>
      <x:c r="G29" s="86" t="n">
        <x:f>ROUND(G16-'02_Raw_Financials'!G16,8)</x:f>
        <x:v>0</x:v>
      </x:c>
      <x:c r="H29" s="4"/>
      <x:c r="I29" s="4"/>
      <x:c r="J29" s="4"/>
      <x:c r="K29" s="4"/>
      <x:c r="L29" s="4"/>
    </x:row>
    <x:row r="30" ht="19" customHeight="1">
      <x:c r="A30" s="1"/>
      <x:c r="B30" s="1"/>
      <x:c r="C30" s="4"/>
      <x:c r="D30" s="4"/>
      <x:c r="E30" s="4"/>
      <x:c r="F30" s="4"/>
      <x:c r="G30" s="4"/>
      <x:c r="H30" s="4"/>
      <x:c r="I30" s="4"/>
      <x:c r="J30" s="4"/>
      <x:c r="K30" s="4"/>
      <x:c r="L30" s="4"/>
    </x:row>
    <x:row r="31" ht="19" customHeight="1">
      <x:c r="A31" s="1"/>
      <x:c r="B31" s="1"/>
      <x:c r="C31" s="4"/>
      <x:c r="D31" s="4"/>
      <x:c r="E31" s="4"/>
      <x:c r="F31" s="4"/>
      <x:c r="G31" s="4"/>
      <x:c r="H31" s="4"/>
      <x:c r="I31" s="4"/>
      <x:c r="J31" s="4"/>
      <x:c r="K31" s="4"/>
      <x:c r="L31" s="4"/>
    </x:row>
    <x:row r="32" ht="19" customHeight="1">
      <x:c r="A32" s="1"/>
      <x:c r="B32" s="1"/>
      <x:c r="C32" s="4"/>
      <x:c r="D32" s="4"/>
      <x:c r="E32" s="4"/>
      <x:c r="F32" s="4"/>
      <x:c r="G32" s="4"/>
      <x:c r="H32" s="4"/>
      <x:c r="I32" s="4"/>
      <x:c r="J32" s="4"/>
      <x:c r="K32" s="4"/>
      <x:c r="L32" s="4"/>
    </x:row>
    <x:row r="33" ht="19" customHeight="1">
      <x:c r="A33" s="1"/>
      <x:c r="B33" s="1"/>
      <x:c r="C33" s="4"/>
      <x:c r="D33" s="4"/>
      <x:c r="E33" s="4"/>
      <x:c r="F33" s="4"/>
      <x:c r="G33" s="4"/>
      <x:c r="H33" s="4"/>
      <x:c r="I33" s="4"/>
      <x:c r="J33" s="4"/>
      <x:c r="K33" s="4"/>
      <x:c r="L33" s="4"/>
    </x:row>
    <x:row r="34" ht="19" customHeight="1">
      <x:c r="A34" s="1"/>
      <x:c r="B34" s="1"/>
      <x:c r="C34" s="4"/>
      <x:c r="D34" s="4"/>
      <x:c r="E34" s="4"/>
      <x:c r="F34" s="4"/>
      <x:c r="G34" s="4"/>
      <x:c r="H34" s="4"/>
      <x:c r="I34" s="4"/>
      <x:c r="J34" s="4"/>
      <x:c r="K34" s="4"/>
      <x:c r="L34" s="4"/>
    </x:row>
    <x:row r="35" ht="19" customHeight="1">
      <x:c r="A35" s="1"/>
      <x:c r="B35" s="1"/>
      <x:c r="C35" s="4"/>
      <x:c r="D35" s="4"/>
      <x:c r="E35" s="4"/>
      <x:c r="F35" s="4"/>
      <x:c r="G35" s="4"/>
      <x:c r="H35" s="4"/>
      <x:c r="I35" s="4"/>
      <x:c r="J35" s="4"/>
      <x:c r="K35" s="4"/>
      <x:c r="L35" s="4"/>
    </x:row>
    <x:row r="36" ht="19" customHeight="1">
      <x:c r="A36" s="1"/>
      <x:c r="B36" s="1"/>
      <x:c r="C36" s="4"/>
      <x:c r="D36" s="4"/>
      <x:c r="E36" s="4"/>
      <x:c r="F36" s="4"/>
      <x:c r="G36" s="4"/>
      <x:c r="H36" s="4"/>
      <x:c r="I36" s="4"/>
      <x:c r="J36" s="4"/>
      <x:c r="K36" s="4"/>
      <x:c r="L36" s="4"/>
    </x:row>
    <x:row r="37" ht="19" customHeight="1">
      <x:c r="A37" s="1"/>
      <x:c r="B37" s="1"/>
      <x:c r="C37" s="4"/>
      <x:c r="D37" s="4"/>
      <x:c r="E37" s="4"/>
      <x:c r="F37" s="4"/>
      <x:c r="G37" s="4"/>
      <x:c r="H37" s="4"/>
      <x:c r="I37" s="4"/>
      <x:c r="J37" s="4"/>
      <x:c r="K37" s="4"/>
      <x:c r="L37" s="4"/>
    </x:row>
    <x:row r="38" ht="19" customHeight="1">
      <x:c r="A38" s="1"/>
      <x:c r="B38" s="1"/>
      <x:c r="C38" s="4"/>
      <x:c r="D38" s="4"/>
      <x:c r="E38" s="4"/>
      <x:c r="F38" s="4"/>
      <x:c r="G38" s="4"/>
      <x:c r="H38" s="4"/>
      <x:c r="I38" s="4"/>
      <x:c r="J38" s="4"/>
      <x:c r="K38" s="4"/>
      <x:c r="L38" s="4"/>
    </x:row>
    <x:row r="39" ht="19" customHeight="1">
      <x:c r="A39" s="1"/>
      <x:c r="B39" s="1"/>
      <x:c r="C39" s="4"/>
      <x:c r="D39" s="4"/>
      <x:c r="E39" s="4"/>
      <x:c r="F39" s="4"/>
      <x:c r="G39" s="4"/>
      <x:c r="H39" s="4"/>
      <x:c r="I39" s="4"/>
      <x:c r="J39" s="4"/>
      <x:c r="K39" s="4"/>
      <x:c r="L39" s="4"/>
    </x:row>
    <x:row r="40" ht="19" customHeight="1">
      <x:c r="A40" s="1"/>
      <x:c r="B40" s="1"/>
      <x:c r="C40" s="4"/>
      <x:c r="D40" s="4"/>
      <x:c r="E40" s="4"/>
      <x:c r="F40" s="4"/>
      <x:c r="G40" s="4"/>
      <x:c r="H40" s="4"/>
      <x:c r="I40" s="4"/>
      <x:c r="J40" s="4"/>
      <x:c r="K40" s="4"/>
      <x:c r="L40" s="4"/>
    </x:row>
    <x:row r="41" ht="19" customHeight="1">
      <x:c r="A41" s="1"/>
      <x:c r="B41" s="1"/>
      <x:c r="C41" s="4"/>
      <x:c r="D41" s="4"/>
      <x:c r="E41" s="4"/>
      <x:c r="F41" s="4"/>
      <x:c r="G41" s="4"/>
      <x:c r="H41" s="4"/>
      <x:c r="I41" s="4"/>
      <x:c r="J41" s="4"/>
      <x:c r="K41" s="4"/>
      <x:c r="L41" s="4"/>
    </x:row>
    <x:row r="42" ht="19" customHeight="1">
      <x:c r="A42" s="1"/>
      <x:c r="B42" s="1"/>
      <x:c r="C42" s="4"/>
      <x:c r="D42" s="4"/>
      <x:c r="E42" s="4"/>
      <x:c r="F42" s="4"/>
      <x:c r="G42" s="4"/>
      <x:c r="H42" s="4"/>
      <x:c r="I42" s="4"/>
      <x:c r="J42" s="4"/>
      <x:c r="K42" s="4"/>
      <x:c r="L42" s="4"/>
    </x:row>
    <x:row r="43" ht="19" customHeight="1">
      <x:c r="A43" s="1"/>
      <x:c r="B43" s="1"/>
      <x:c r="C43" s="4"/>
      <x:c r="D43" s="4"/>
      <x:c r="E43" s="4"/>
      <x:c r="F43" s="4"/>
      <x:c r="G43" s="4"/>
      <x:c r="H43" s="4"/>
      <x:c r="I43" s="4"/>
      <x:c r="J43" s="4"/>
      <x:c r="K43" s="4"/>
      <x:c r="L43" s="4"/>
    </x:row>
    <x:row r="44" ht="19" customHeight="1">
      <x:c r="A44" s="1"/>
      <x:c r="B44" s="1"/>
      <x:c r="C44" s="4"/>
      <x:c r="D44" s="4"/>
      <x:c r="E44" s="4"/>
      <x:c r="F44" s="4"/>
      <x:c r="G44" s="4"/>
      <x:c r="H44" s="4"/>
      <x:c r="I44" s="4"/>
      <x:c r="J44" s="4"/>
      <x:c r="K44" s="4"/>
      <x:c r="L44" s="4"/>
    </x:row>
    <x:row r="45" ht="19" customHeight="1">
      <x:c r="A45" s="1"/>
      <x:c r="B45" s="1"/>
      <x:c r="C45" s="4"/>
      <x:c r="D45" s="4"/>
      <x:c r="E45" s="4"/>
      <x:c r="F45" s="4"/>
      <x:c r="G45" s="4"/>
      <x:c r="H45" s="4"/>
      <x:c r="I45" s="4"/>
      <x:c r="J45" s="4"/>
      <x:c r="K45" s="4"/>
      <x:c r="L45" s="4"/>
    </x:row>
    <x:row r="46" ht="19" customHeight="1">
      <x:c r="A46" s="1"/>
      <x:c r="B46" s="1"/>
      <x:c r="C46" s="4"/>
      <x:c r="D46" s="4"/>
      <x:c r="E46" s="4"/>
      <x:c r="F46" s="4"/>
      <x:c r="G46" s="4"/>
      <x:c r="H46" s="4"/>
      <x:c r="I46" s="4"/>
      <x:c r="J46" s="4"/>
      <x:c r="K46" s="4"/>
      <x:c r="L46" s="4"/>
    </x:row>
    <x:row r="47" ht="19" customHeight="1">
      <x:c r="A47" s="1"/>
      <x:c r="B47" s="1"/>
      <x:c r="C47" s="4"/>
      <x:c r="D47" s="4"/>
      <x:c r="E47" s="4"/>
      <x:c r="F47" s="4"/>
      <x:c r="G47" s="4"/>
      <x:c r="H47" s="4"/>
      <x:c r="I47" s="4"/>
      <x:c r="J47" s="4"/>
      <x:c r="K47" s="4"/>
      <x:c r="L47" s="4"/>
    </x:row>
    <x:row r="48" ht="19" customHeight="1">
      <x:c r="A48" s="1"/>
      <x:c r="B48" s="1"/>
      <x:c r="C48" s="4"/>
      <x:c r="D48" s="4"/>
      <x:c r="E48" s="4"/>
      <x:c r="F48" s="4"/>
      <x:c r="G48" s="4"/>
      <x:c r="H48" s="4"/>
      <x:c r="I48" s="4"/>
      <x:c r="J48" s="4"/>
      <x:c r="K48" s="4"/>
      <x:c r="L48" s="4"/>
    </x:row>
    <x:row r="49" ht="19" customHeight="1">
      <x:c r="A49" s="1"/>
      <x:c r="B49" s="1"/>
      <x:c r="C49" s="4"/>
      <x:c r="D49" s="4"/>
      <x:c r="E49" s="4"/>
      <x:c r="F49" s="4"/>
      <x:c r="G49" s="4"/>
      <x:c r="H49" s="4"/>
      <x:c r="I49" s="4"/>
      <x:c r="J49" s="4"/>
      <x:c r="K49" s="4"/>
      <x:c r="L49" s="4"/>
    </x:row>
    <x:row r="50" ht="19" customHeight="1">
      <x:c r="A50" s="1"/>
      <x:c r="B50" s="1"/>
      <x:c r="C50" s="4"/>
      <x:c r="D50" s="4"/>
      <x:c r="E50" s="4"/>
      <x:c r="F50" s="4"/>
      <x:c r="G50" s="4"/>
      <x:c r="H50" s="4"/>
      <x:c r="I50" s="4"/>
      <x:c r="J50" s="4"/>
      <x:c r="K50" s="4"/>
      <x:c r="L50" s="4"/>
    </x:row>
    <x:row r="51" ht="19" customHeight="1">
      <x:c r="A51" s="1"/>
      <x:c r="B51" s="1"/>
      <x:c r="C51" s="4"/>
      <x:c r="D51" s="4"/>
      <x:c r="E51" s="4"/>
      <x:c r="F51" s="4"/>
      <x:c r="G51" s="4"/>
      <x:c r="H51" s="4"/>
      <x:c r="I51" s="4"/>
      <x:c r="J51" s="4"/>
      <x:c r="K51" s="4"/>
      <x:c r="L51" s="4"/>
    </x:row>
    <x:row r="52" ht="19" customHeight="1">
      <x:c r="A52" s="1"/>
      <x:c r="B52" s="1"/>
      <x:c r="C52" s="4"/>
      <x:c r="D52" s="4"/>
      <x:c r="E52" s="4"/>
      <x:c r="F52" s="4"/>
      <x:c r="G52" s="4"/>
      <x:c r="H52" s="4"/>
      <x:c r="I52" s="4"/>
      <x:c r="J52" s="4"/>
      <x:c r="K52" s="4"/>
      <x:c r="L52" s="4"/>
    </x:row>
    <x:row r="53" ht="19" customHeight="1">
      <x:c r="A53" s="1"/>
      <x:c r="B53" s="1"/>
      <x:c r="C53" s="4"/>
      <x:c r="D53" s="4"/>
      <x:c r="E53" s="4"/>
      <x:c r="F53" s="4"/>
      <x:c r="G53" s="4"/>
      <x:c r="H53" s="4"/>
      <x:c r="I53" s="4"/>
      <x:c r="J53" s="4"/>
      <x:c r="K53" s="4"/>
      <x:c r="L53" s="4"/>
    </x:row>
    <x:row r="54" ht="19" customHeight="1">
      <x:c r="A54" s="1"/>
      <x:c r="B54" s="1"/>
      <x:c r="C54" s="4"/>
      <x:c r="D54" s="4"/>
      <x:c r="E54" s="4"/>
      <x:c r="F54" s="4"/>
      <x:c r="G54" s="4"/>
      <x:c r="H54" s="4"/>
      <x:c r="I54" s="4"/>
      <x:c r="J54" s="4"/>
      <x:c r="K54" s="4"/>
      <x:c r="L54" s="4"/>
    </x:row>
    <x:row r="55" ht="19" customHeight="1">
      <x:c r="A55" s="1"/>
      <x:c r="B55" s="1"/>
      <x:c r="C55" s="4"/>
      <x:c r="D55" s="4"/>
      <x:c r="E55" s="4"/>
      <x:c r="F55" s="4"/>
      <x:c r="G55" s="4"/>
      <x:c r="H55" s="4"/>
      <x:c r="I55" s="4"/>
      <x:c r="J55" s="4"/>
      <x:c r="K55" s="4"/>
      <x:c r="L55" s="4"/>
    </x:row>
    <x:row r="56" ht="19" customHeight="1">
      <x:c r="A56" s="1"/>
      <x:c r="B56" s="1"/>
      <x:c r="C56" s="4"/>
      <x:c r="D56" s="4"/>
      <x:c r="E56" s="4"/>
      <x:c r="F56" s="4"/>
      <x:c r="G56" s="4"/>
      <x:c r="H56" s="4"/>
      <x:c r="I56" s="4"/>
      <x:c r="J56" s="4"/>
      <x:c r="K56" s="4"/>
      <x:c r="L56" s="4"/>
    </x:row>
    <x:row r="57" ht="19" customHeight="1">
      <x:c r="A57" s="1"/>
      <x:c r="B57" s="1"/>
      <x:c r="C57" s="4"/>
      <x:c r="D57" s="4"/>
      <x:c r="E57" s="4"/>
      <x:c r="F57" s="4"/>
      <x:c r="G57" s="4"/>
      <x:c r="H57" s="4"/>
      <x:c r="I57" s="4"/>
      <x:c r="J57" s="4"/>
      <x:c r="K57" s="4"/>
      <x:c r="L57" s="4"/>
    </x:row>
    <x:row r="58" ht="19" customHeight="1">
      <x:c r="A58" s="1"/>
      <x:c r="B58" s="1"/>
      <x:c r="C58" s="4"/>
      <x:c r="D58" s="4"/>
      <x:c r="E58" s="4"/>
      <x:c r="F58" s="4"/>
      <x:c r="G58" s="4"/>
      <x:c r="H58" s="4"/>
      <x:c r="I58" s="4"/>
      <x:c r="J58" s="4"/>
      <x:c r="K58" s="4"/>
      <x:c r="L58" s="4"/>
    </x:row>
    <x:row r="59" ht="19" customHeight="1">
      <x:c r="A59" s="1"/>
      <x:c r="B59" s="1"/>
      <x:c r="C59" s="4"/>
      <x:c r="D59" s="4"/>
      <x:c r="E59" s="4"/>
      <x:c r="F59" s="4"/>
      <x:c r="G59" s="4"/>
      <x:c r="H59" s="4"/>
      <x:c r="I59" s="4"/>
      <x:c r="J59" s="4"/>
      <x:c r="K59" s="4"/>
      <x:c r="L59" s="4"/>
    </x:row>
    <x:row r="60" ht="19" customHeight="1">
      <x:c r="A60" s="1"/>
      <x:c r="B60" s="1"/>
      <x:c r="C60" s="4"/>
      <x:c r="D60" s="4"/>
      <x:c r="E60" s="4"/>
      <x:c r="F60" s="4"/>
      <x:c r="G60" s="4"/>
      <x:c r="H60" s="4"/>
      <x:c r="I60" s="4"/>
      <x:c r="J60" s="4"/>
      <x:c r="K60" s="4"/>
      <x:c r="L60" s="4"/>
    </x:row>
    <x:row r="61" ht="19" customHeight="1">
      <x:c r="A61" s="1"/>
      <x:c r="B61" s="1"/>
      <x:c r="C61" s="4"/>
      <x:c r="D61" s="4"/>
      <x:c r="E61" s="4"/>
      <x:c r="F61" s="4"/>
      <x:c r="G61" s="4"/>
      <x:c r="H61" s="4"/>
      <x:c r="I61" s="4"/>
      <x:c r="J61" s="4"/>
      <x:c r="K61" s="4"/>
      <x:c r="L61" s="4"/>
    </x:row>
    <x:row r="62" ht="19" customHeight="1">
      <x:c r="A62" s="1"/>
      <x:c r="B62" s="1"/>
      <x:c r="C62" s="4"/>
      <x:c r="D62" s="4"/>
      <x:c r="E62" s="4"/>
      <x:c r="F62" s="4"/>
      <x:c r="G62" s="4"/>
      <x:c r="H62" s="4"/>
      <x:c r="I62" s="4"/>
      <x:c r="J62" s="4"/>
      <x:c r="K62" s="4"/>
      <x:c r="L62" s="4"/>
    </x:row>
    <x:row r="63" ht="19" customHeight="1">
      <x:c r="A63" s="1"/>
      <x:c r="B63" s="1"/>
      <x:c r="C63" s="4"/>
      <x:c r="D63" s="4"/>
      <x:c r="E63" s="4"/>
      <x:c r="F63" s="4"/>
      <x:c r="G63" s="4"/>
      <x:c r="H63" s="4"/>
      <x:c r="I63" s="4"/>
      <x:c r="J63" s="4"/>
      <x:c r="K63" s="4"/>
      <x:c r="L63" s="4"/>
    </x:row>
    <x:row r="64" ht="19" customHeight="1">
      <x:c r="A64" s="1"/>
      <x:c r="B64" s="1"/>
      <x:c r="C64" s="4"/>
      <x:c r="D64" s="4"/>
      <x:c r="E64" s="4"/>
      <x:c r="F64" s="4"/>
      <x:c r="G64" s="4"/>
      <x:c r="H64" s="4"/>
      <x:c r="I64" s="4"/>
      <x:c r="J64" s="4"/>
      <x:c r="K64" s="4"/>
      <x:c r="L64" s="4"/>
    </x:row>
    <x:row r="65" ht="19" customHeight="1">
      <x:c r="A65" s="1"/>
      <x:c r="B65" s="1"/>
      <x:c r="C65" s="4"/>
      <x:c r="D65" s="4"/>
      <x:c r="E65" s="4"/>
      <x:c r="F65" s="4"/>
      <x:c r="G65" s="4"/>
      <x:c r="H65" s="4"/>
      <x:c r="I65" s="4"/>
      <x:c r="J65" s="4"/>
      <x:c r="K65" s="4"/>
      <x:c r="L65" s="4"/>
    </x:row>
    <x:row r="66" ht="19" customHeight="1">
      <x:c r="A66" s="1"/>
      <x:c r="B66" s="1"/>
      <x:c r="C66" s="4"/>
      <x:c r="D66" s="4"/>
      <x:c r="E66" s="4"/>
      <x:c r="F66" s="4"/>
      <x:c r="G66" s="4"/>
      <x:c r="H66" s="4"/>
      <x:c r="I66" s="4"/>
      <x:c r="J66" s="4"/>
      <x:c r="K66" s="4"/>
      <x:c r="L66" s="4"/>
    </x:row>
    <x:row r="67" ht="19" customHeight="1">
      <x:c r="A67" s="1"/>
      <x:c r="B67" s="1"/>
      <x:c r="C67" s="4"/>
      <x:c r="D67" s="4"/>
      <x:c r="E67" s="4"/>
      <x:c r="F67" s="4"/>
      <x:c r="G67" s="4"/>
      <x:c r="H67" s="4"/>
      <x:c r="I67" s="4"/>
      <x:c r="J67" s="4"/>
      <x:c r="K67" s="4"/>
      <x:c r="L67" s="4"/>
    </x:row>
    <x:row r="68" ht="19" customHeight="1">
      <x:c r="A68" s="1"/>
      <x:c r="B68" s="1"/>
      <x:c r="C68" s="4"/>
      <x:c r="D68" s="4"/>
      <x:c r="E68" s="4"/>
      <x:c r="F68" s="4"/>
      <x:c r="G68" s="4"/>
      <x:c r="H68" s="4"/>
      <x:c r="I68" s="4"/>
      <x:c r="J68" s="4"/>
      <x:c r="K68" s="4"/>
      <x:c r="L68" s="4"/>
    </x:row>
    <x:row r="69" ht="19" customHeight="1">
      <x:c r="A69" s="1"/>
      <x:c r="B69" s="1"/>
      <x:c r="C69" s="4"/>
      <x:c r="D69" s="4"/>
      <x:c r="E69" s="4"/>
      <x:c r="F69" s="4"/>
      <x:c r="G69" s="4"/>
      <x:c r="H69" s="4"/>
      <x:c r="I69" s="4"/>
      <x:c r="J69" s="4"/>
      <x:c r="K69" s="4"/>
      <x:c r="L69" s="4"/>
    </x:row>
    <x:row r="70" ht="19" customHeight="1">
      <x:c r="A70" s="1"/>
      <x:c r="B70" s="1"/>
      <x:c r="C70" s="4"/>
      <x:c r="D70" s="4"/>
      <x:c r="E70" s="4"/>
      <x:c r="F70" s="4"/>
      <x:c r="G70" s="4"/>
      <x:c r="H70" s="4"/>
      <x:c r="I70" s="4"/>
      <x:c r="J70" s="4"/>
      <x:c r="K70" s="4"/>
      <x:c r="L70" s="4"/>
    </x:row>
    <x:row r="71" ht="19" customHeight="1">
      <x:c r="A71" s="1"/>
      <x:c r="B71" s="1"/>
      <x:c r="C71" s="4"/>
      <x:c r="D71" s="4"/>
      <x:c r="E71" s="4"/>
      <x:c r="F71" s="4"/>
      <x:c r="G71" s="4"/>
      <x:c r="H71" s="4"/>
      <x:c r="I71" s="4"/>
      <x:c r="J71" s="4"/>
      <x:c r="K71" s="4"/>
      <x:c r="L71" s="4"/>
    </x:row>
    <x:row r="72" ht="19" customHeight="1">
      <x:c r="A72" s="1"/>
      <x:c r="B72" s="1"/>
      <x:c r="C72" s="4"/>
      <x:c r="D72" s="4"/>
      <x:c r="E72" s="4"/>
      <x:c r="F72" s="4"/>
      <x:c r="G72" s="4"/>
      <x:c r="H72" s="4"/>
      <x:c r="I72" s="4"/>
      <x:c r="J72" s="4"/>
      <x:c r="K72" s="4"/>
      <x:c r="L72" s="4"/>
    </x:row>
    <x:row r="73" ht="19" customHeight="1">
      <x:c r="A73" s="1"/>
      <x:c r="B73" s="1"/>
      <x:c r="C73" s="4"/>
      <x:c r="D73" s="4"/>
      <x:c r="E73" s="4"/>
      <x:c r="F73" s="4"/>
      <x:c r="G73" s="4"/>
      <x:c r="H73" s="4"/>
      <x:c r="I73" s="4"/>
      <x:c r="J73" s="4"/>
      <x:c r="K73" s="4"/>
      <x:c r="L73" s="4"/>
    </x:row>
    <x:row r="74" ht="19" customHeight="1">
      <x:c r="A74" s="1"/>
      <x:c r="B74" s="1"/>
      <x:c r="C74" s="4"/>
      <x:c r="D74" s="4"/>
      <x:c r="E74" s="4"/>
      <x:c r="F74" s="4"/>
      <x:c r="G74" s="4"/>
      <x:c r="H74" s="4"/>
      <x:c r="I74" s="4"/>
      <x:c r="J74" s="4"/>
      <x:c r="K74" s="4"/>
      <x:c r="L74" s="4"/>
    </x:row>
    <x:row r="75" ht="19" customHeight="1">
      <x:c r="A75" s="1"/>
      <x:c r="B75" s="1"/>
      <x:c r="C75" s="4"/>
      <x:c r="D75" s="4"/>
      <x:c r="E75" s="4"/>
      <x:c r="F75" s="4"/>
      <x:c r="G75" s="4"/>
      <x:c r="H75" s="4"/>
      <x:c r="I75" s="4"/>
      <x:c r="J75" s="4"/>
      <x:c r="K75" s="4"/>
      <x:c r="L75" s="4"/>
    </x:row>
    <x:row r="76" ht="19" customHeight="1">
      <x:c r="A76" s="1"/>
      <x:c r="B76" s="1"/>
      <x:c r="C76" s="4"/>
      <x:c r="D76" s="4"/>
      <x:c r="E76" s="4"/>
      <x:c r="F76" s="4"/>
      <x:c r="G76" s="4"/>
      <x:c r="H76" s="4"/>
      <x:c r="I76" s="4"/>
      <x:c r="J76" s="4"/>
      <x:c r="K76" s="4"/>
      <x:c r="L76" s="4"/>
    </x:row>
    <x:row r="77" ht="19" customHeight="1">
      <x:c r="A77" s="1"/>
      <x:c r="B77" s="1"/>
      <x:c r="C77" s="4"/>
      <x:c r="D77" s="4"/>
      <x:c r="E77" s="4"/>
      <x:c r="F77" s="4"/>
      <x:c r="G77" s="4"/>
      <x:c r="H77" s="4"/>
      <x:c r="I77" s="4"/>
      <x:c r="J77" s="4"/>
      <x:c r="K77" s="4"/>
      <x:c r="L77" s="4"/>
    </x:row>
    <x:row r="78" ht="19" customHeight="1">
      <x:c r="A78" s="1"/>
      <x:c r="B78" s="1"/>
      <x:c r="C78" s="4"/>
      <x:c r="D78" s="4"/>
      <x:c r="E78" s="4"/>
      <x:c r="F78" s="4"/>
      <x:c r="G78" s="4"/>
      <x:c r="H78" s="4"/>
      <x:c r="I78" s="4"/>
      <x:c r="J78" s="4"/>
      <x:c r="K78" s="4"/>
      <x:c r="L78" s="4"/>
    </x:row>
    <x:row r="79" ht="19" customHeight="1">
      <x:c r="A79" s="1"/>
      <x:c r="B79" s="1"/>
      <x:c r="C79" s="4"/>
      <x:c r="D79" s="4"/>
      <x:c r="E79" s="4"/>
      <x:c r="F79" s="4"/>
      <x:c r="G79" s="4"/>
      <x:c r="H79" s="4"/>
      <x:c r="I79" s="4"/>
      <x:c r="J79" s="4"/>
      <x:c r="K79" s="4"/>
      <x:c r="L79" s="4"/>
    </x:row>
    <x:row r="80" ht="19" customHeight="1">
      <x:c r="A80" s="1"/>
      <x:c r="B80" s="1"/>
      <x:c r="C80" s="4"/>
      <x:c r="D80" s="4"/>
      <x:c r="E80" s="4"/>
      <x:c r="F80" s="4"/>
      <x:c r="G80" s="4"/>
      <x:c r="H80" s="4"/>
      <x:c r="I80" s="4"/>
      <x:c r="J80" s="4"/>
      <x:c r="K80" s="4"/>
      <x:c r="L80" s="4"/>
    </x:row>
    <x:row r="81" ht="19" customHeight="1">
      <x:c r="A81" s="1"/>
      <x:c r="B81" s="1"/>
      <x:c r="C81" s="4"/>
      <x:c r="D81" s="4"/>
      <x:c r="E81" s="4"/>
      <x:c r="F81" s="4"/>
      <x:c r="G81" s="4"/>
      <x:c r="H81" s="4"/>
      <x:c r="I81" s="4"/>
      <x:c r="J81" s="4"/>
      <x:c r="K81" s="4"/>
      <x:c r="L81" s="4"/>
    </x:row>
    <x:row r="82" ht="19" customHeight="1">
      <x:c r="A82" s="1"/>
      <x:c r="B82" s="1"/>
      <x:c r="C82" s="4"/>
      <x:c r="D82" s="4"/>
      <x:c r="E82" s="4"/>
      <x:c r="F82" s="4"/>
      <x:c r="G82" s="4"/>
      <x:c r="H82" s="4"/>
      <x:c r="I82" s="4"/>
      <x:c r="J82" s="4"/>
      <x:c r="K82" s="4"/>
      <x:c r="L82" s="4"/>
    </x:row>
    <x:row r="83" ht="19" customHeight="1">
      <x:c r="A83" s="1"/>
      <x:c r="B83" s="1"/>
      <x:c r="C83" s="4"/>
      <x:c r="D83" s="4"/>
      <x:c r="E83" s="4"/>
      <x:c r="F83" s="4"/>
      <x:c r="G83" s="4"/>
      <x:c r="H83" s="4"/>
      <x:c r="I83" s="4"/>
      <x:c r="J83" s="4"/>
      <x:c r="K83" s="4"/>
      <x:c r="L83" s="4"/>
    </x:row>
    <x:row r="84" ht="19" customHeight="1">
      <x:c r="A84" s="1"/>
      <x:c r="B84" s="1"/>
      <x:c r="C84" s="4"/>
      <x:c r="D84" s="4"/>
      <x:c r="E84" s="4"/>
      <x:c r="F84" s="4"/>
      <x:c r="G84" s="4"/>
      <x:c r="H84" s="4"/>
      <x:c r="I84" s="4"/>
      <x:c r="J84" s="4"/>
      <x:c r="K84" s="4"/>
      <x:c r="L84" s="4"/>
    </x:row>
    <x:row r="85" ht="19" customHeight="1">
      <x:c r="A85" s="1"/>
      <x:c r="B85" s="1"/>
      <x:c r="C85" s="4"/>
      <x:c r="D85" s="4"/>
      <x:c r="E85" s="4"/>
      <x:c r="F85" s="4"/>
      <x:c r="G85" s="4"/>
      <x:c r="H85" s="4"/>
      <x:c r="I85" s="4"/>
      <x:c r="J85" s="4"/>
      <x:c r="K85" s="4"/>
      <x:c r="L85" s="4"/>
    </x:row>
    <x:row r="86" ht="19" customHeight="1">
      <x:c r="A86" s="1"/>
      <x:c r="B86" s="1"/>
      <x:c r="C86" s="4"/>
      <x:c r="D86" s="4"/>
      <x:c r="E86" s="4"/>
      <x:c r="F86" s="4"/>
      <x:c r="G86" s="4"/>
      <x:c r="H86" s="4"/>
      <x:c r="I86" s="4"/>
      <x:c r="J86" s="4"/>
      <x:c r="K86" s="4"/>
      <x:c r="L86" s="4"/>
    </x:row>
    <x:row r="87" ht="19" customHeight="1">
      <x:c r="A87" s="1"/>
      <x:c r="B87" s="1"/>
      <x:c r="C87" s="4"/>
      <x:c r="D87" s="4"/>
      <x:c r="E87" s="4"/>
      <x:c r="F87" s="4"/>
      <x:c r="G87" s="4"/>
      <x:c r="H87" s="4"/>
      <x:c r="I87" s="4"/>
      <x:c r="J87" s="4"/>
      <x:c r="K87" s="4"/>
      <x:c r="L87" s="4"/>
    </x:row>
    <x:row r="88" ht="19" customHeight="1">
      <x:c r="A88" s="1"/>
      <x:c r="B88" s="1"/>
      <x:c r="C88" s="4"/>
      <x:c r="D88" s="4"/>
      <x:c r="E88" s="4"/>
      <x:c r="F88" s="4"/>
      <x:c r="G88" s="4"/>
      <x:c r="H88" s="4"/>
      <x:c r="I88" s="4"/>
      <x:c r="J88" s="4"/>
      <x:c r="K88" s="4"/>
      <x:c r="L88" s="4"/>
    </x:row>
    <x:row r="89" ht="19" customHeight="1">
      <x:c r="A89" s="1"/>
      <x:c r="B89" s="1"/>
      <x:c r="C89" s="4"/>
      <x:c r="D89" s="4"/>
      <x:c r="E89" s="4"/>
      <x:c r="F89" s="4"/>
      <x:c r="G89" s="4"/>
      <x:c r="H89" s="4"/>
      <x:c r="I89" s="4"/>
      <x:c r="J89" s="4"/>
      <x:c r="K89" s="4"/>
      <x:c r="L89" s="4"/>
    </x:row>
    <x:row r="90" ht="19" customHeight="1">
      <x:c r="A90" s="1"/>
      <x:c r="B90" s="1"/>
      <x:c r="C90" s="4"/>
      <x:c r="D90" s="4"/>
      <x:c r="E90" s="4"/>
      <x:c r="F90" s="4"/>
      <x:c r="G90" s="4"/>
      <x:c r="H90" s="4"/>
      <x:c r="I90" s="4"/>
      <x:c r="J90" s="4"/>
      <x:c r="K90" s="4"/>
      <x:c r="L90" s="4"/>
    </x:row>
    <x:row r="91" ht="19" customHeight="1">
      <x:c r="A91" s="1"/>
      <x:c r="B91" s="1"/>
      <x:c r="C91" s="4"/>
      <x:c r="D91" s="4"/>
      <x:c r="E91" s="4"/>
      <x:c r="F91" s="4"/>
      <x:c r="G91" s="4"/>
      <x:c r="H91" s="4"/>
      <x:c r="I91" s="4"/>
      <x:c r="J91" s="4"/>
      <x:c r="K91" s="4"/>
      <x:c r="L91" s="4"/>
    </x:row>
    <x:row r="92" ht="19" customHeight="1">
      <x:c r="A92" s="1"/>
      <x:c r="B92" s="1"/>
      <x:c r="C92" s="4"/>
      <x:c r="D92" s="4"/>
      <x:c r="E92" s="4"/>
      <x:c r="F92" s="4"/>
      <x:c r="G92" s="4"/>
      <x:c r="H92" s="4"/>
      <x:c r="I92" s="4"/>
      <x:c r="J92" s="4"/>
      <x:c r="K92" s="4"/>
      <x:c r="L92" s="4"/>
    </x:row>
    <x:row r="93" ht="19" customHeight="1">
      <x:c r="A93" s="1"/>
      <x:c r="B93" s="1"/>
      <x:c r="C93" s="4"/>
      <x:c r="D93" s="4"/>
      <x:c r="E93" s="4"/>
      <x:c r="F93" s="4"/>
      <x:c r="G93" s="4"/>
      <x:c r="H93" s="4"/>
      <x:c r="I93" s="4"/>
      <x:c r="J93" s="4"/>
      <x:c r="K93" s="4"/>
      <x:c r="L93" s="4"/>
    </x:row>
    <x:row r="94" ht="19" customHeight="1">
      <x:c r="A94" s="1"/>
      <x:c r="B94" s="1"/>
      <x:c r="C94" s="4"/>
      <x:c r="D94" s="4"/>
      <x:c r="E94" s="4"/>
      <x:c r="F94" s="4"/>
      <x:c r="G94" s="4"/>
      <x:c r="H94" s="4"/>
      <x:c r="I94" s="4"/>
      <x:c r="J94" s="4"/>
      <x:c r="K94" s="4"/>
      <x:c r="L94" s="4"/>
    </x:row>
    <x:row r="95" ht="19" customHeight="1">
      <x:c r="A95" s="1"/>
      <x:c r="B95" s="1"/>
      <x:c r="C95" s="4"/>
      <x:c r="D95" s="4"/>
      <x:c r="E95" s="4"/>
      <x:c r="F95" s="4"/>
      <x:c r="G95" s="4"/>
      <x:c r="H95" s="4"/>
      <x:c r="I95" s="4"/>
      <x:c r="J95" s="4"/>
      <x:c r="K95" s="4"/>
      <x:c r="L95" s="4"/>
    </x:row>
    <x:row r="96" ht="19" customHeight="1">
      <x:c r="A96" s="1"/>
      <x:c r="B96" s="1"/>
      <x:c r="C96" s="4"/>
      <x:c r="D96" s="4"/>
      <x:c r="E96" s="4"/>
      <x:c r="F96" s="4"/>
      <x:c r="G96" s="4"/>
      <x:c r="H96" s="4"/>
      <x:c r="I96" s="4"/>
      <x:c r="J96" s="4"/>
      <x:c r="K96" s="4"/>
      <x:c r="L96" s="4"/>
    </x:row>
    <x:row r="97" ht="19" customHeight="1">
      <x:c r="A97" s="1"/>
      <x:c r="B97" s="1"/>
      <x:c r="C97" s="4"/>
      <x:c r="D97" s="4"/>
      <x:c r="E97" s="4"/>
      <x:c r="F97" s="4"/>
      <x:c r="G97" s="4"/>
      <x:c r="H97" s="4"/>
      <x:c r="I97" s="4"/>
      <x:c r="J97" s="4"/>
      <x:c r="K97" s="4"/>
      <x:c r="L97" s="4"/>
    </x:row>
    <x:row r="98" ht="19" customHeight="1">
      <x:c r="A98" s="1"/>
      <x:c r="B98" s="1"/>
      <x:c r="C98" s="4"/>
      <x:c r="D98" s="4"/>
      <x:c r="E98" s="4"/>
      <x:c r="F98" s="4"/>
      <x:c r="G98" s="4"/>
      <x:c r="H98" s="4"/>
      <x:c r="I98" s="4"/>
      <x:c r="J98" s="4"/>
      <x:c r="K98" s="4"/>
      <x:c r="L98" s="4"/>
    </x:row>
    <x:row r="99" ht="19" customHeight="1">
      <x:c r="A99" s="1"/>
      <x:c r="B99" s="1"/>
      <x:c r="C99" s="4"/>
      <x:c r="D99" s="4"/>
      <x:c r="E99" s="4"/>
      <x:c r="F99" s="4"/>
      <x:c r="G99" s="4"/>
      <x:c r="H99" s="4"/>
      <x:c r="I99" s="4"/>
      <x:c r="J99" s="4"/>
      <x:c r="K99" s="4"/>
      <x:c r="L99" s="4"/>
    </x:row>
    <x:row r="100" ht="19" customHeight="1">
      <x:c r="A100" s="1"/>
      <x:c r="B100" s="1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</x:row>
    <x:row r="101" ht="19" customHeight="1">
      <x:c r="A101" s="1"/>
      <x:c r="B101" s="1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</x:row>
    <x:row r="102" ht="19" customHeight="1">
      <x:c r="A102" s="1"/>
      <x:c r="B102" s="1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</x:row>
    <x:row r="103" ht="19" customHeight="1">
      <x:c r="A103" s="1"/>
      <x:c r="B103" s="1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</x:row>
    <x:row r="104" ht="19" customHeight="1">
      <x:c r="A104" s="1"/>
      <x:c r="B104" s="1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</x:row>
    <x:row r="105" ht="19" customHeight="1">
      <x:c r="A105" s="1"/>
      <x:c r="B105" s="1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</x:row>
    <x:row r="106" ht="19" customHeight="1">
      <x:c r="A106" s="1"/>
      <x:c r="B106" s="1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</x:row>
    <x:row r="107" ht="19" customHeight="1">
      <x:c r="A107" s="1"/>
      <x:c r="B107" s="1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</x:row>
    <x:row r="108" ht="19" customHeight="1">
      <x:c r="A108" s="1"/>
      <x:c r="B108" s="1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</x:row>
    <x:row r="109" ht="19" customHeight="1">
      <x:c r="A109" s="1"/>
      <x:c r="B109" s="1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</x:row>
    <x:row r="110" ht="19" customHeight="1">
      <x:c r="A110" s="1"/>
      <x:c r="B110" s="1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</x:row>
    <x:row r="111" ht="19" customHeight="1">
      <x:c r="A111" s="1"/>
      <x:c r="B111" s="1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</x:row>
    <x:row r="112" ht="19" customHeight="1">
      <x:c r="A112" s="1"/>
      <x:c r="B112" s="1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</x:row>
    <x:row r="113" ht="19" customHeight="1">
      <x:c r="A113" s="1"/>
      <x:c r="B113" s="1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</x:row>
    <x:row r="114" ht="19" customHeight="1">
      <x:c r="A114" s="1"/>
      <x:c r="B114" s="1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</x:row>
    <x:row r="115" ht="19" customHeight="1">
      <x:c r="A115" s="1"/>
      <x:c r="B115" s="1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</x:row>
    <x:row r="116" ht="19" customHeight="1">
      <x:c r="A116" s="1"/>
      <x:c r="B116" s="1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</x:row>
    <x:row r="117" ht="19" customHeight="1">
      <x:c r="A117" s="1"/>
      <x:c r="B117" s="1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</x:row>
    <x:row r="118" ht="19" customHeight="1">
      <x:c r="A118" s="1"/>
      <x:c r="B118" s="1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</x:row>
    <x:row r="119" ht="19" customHeight="1">
      <x:c r="A119" s="1"/>
      <x:c r="B119" s="1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</x:row>
    <x:row r="120" ht="19" customHeight="1">
      <x:c r="A120" s="1"/>
      <x:c r="B120" s="1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</x:row>
    <x:row r="121" ht="19" customHeight="1">
      <x:c r="A121" s="1"/>
      <x:c r="B121" s="1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</x:row>
    <x:row r="122" ht="19" customHeight="1">
      <x:c r="A122" s="1"/>
      <x:c r="B122" s="1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</x:row>
    <x:row r="123" ht="19" customHeight="1">
      <x:c r="A123" s="1"/>
      <x:c r="B123" s="1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</x:row>
    <x:row r="124" ht="19" customHeight="1">
      <x:c r="A124" s="1"/>
      <x:c r="B124" s="1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</x:row>
    <x:row r="125" ht="19" customHeight="1">
      <x:c r="A125" s="1"/>
      <x:c r="B125" s="1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</x:row>
  </x:sheetData>
  <x:conditionalFormatting sqref="C28:G28">
    <x:cfRule type="expression" dxfId="0" priority="1">
      <x:formula>ABS(C28)&gt;0.03</x:formula>
    </x:cfRule>
    <x:cfRule type="expression" dxfId="8" priority="3">
      <x:formula>ABS(C28)&gt;0.03</x:formula>
    </x:cfRule>
  </x:conditionalFormatting>
  <x:conditionalFormatting sqref="C29:G29">
    <x:cfRule type="expression" dxfId="1" priority="2">
      <x:formula>ABS(C29)&gt;0.03</x:formula>
    </x:cfRule>
    <x:cfRule type="expression" dxfId="9" priority="4">
      <x:formula>ABS(C29)&gt;0.03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2F343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6" hidden="0" customWidth="1"/>
    <x:col min="2" max="2" width="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8" customHeight="1">
      <x:c r="A1" s="88" t="str">
        <x:v>Balance Sheet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</x:row>
    <x:row r="2" ht="19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9" customHeight="1">
      <x:c r="A3" s="1" t="str">
        <x:v>Pricol Limited | Consolidated | INR crore, except per-share data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19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19" customHeight="1">
      <x:c r="A5" s="91" t="str">
        <x:v>Metric</x:v>
      </x:c>
      <x:c r="B5" s="91"/>
      <x:c r="C5" s="91" t="str">
        <x:v>FY2022A</x:v>
      </x:c>
      <x:c r="D5" s="91" t="str">
        <x:v>FY2023A</x:v>
      </x:c>
      <x:c r="E5" s="91" t="str">
        <x:v>FY2024A</x:v>
      </x:c>
      <x:c r="F5" s="91" t="str">
        <x:v>FY2025A</x:v>
      </x:c>
      <x:c r="G5" s="91" t="str">
        <x:v>FY2026A</x:v>
      </x:c>
      <x:c r="H5" s="91" t="str">
        <x:v>FY2027E</x:v>
      </x:c>
      <x:c r="I5" s="91" t="str">
        <x:v>FY2028E</x:v>
      </x:c>
      <x:c r="J5" s="91" t="str">
        <x:v>FY2029E</x:v>
      </x:c>
      <x:c r="K5" s="91" t="str">
        <x:v>FY2030E</x:v>
      </x:c>
      <x:c r="L5" s="91" t="str">
        <x:v>FY2031E</x:v>
      </x:c>
    </x:row>
    <x:row r="6" ht="19" customHeight="1">
      <x:c r="A6" s="1"/>
      <x:c r="B6" s="1"/>
      <x:c r="C6" s="4"/>
      <x:c r="D6" s="4"/>
      <x:c r="E6" s="4"/>
      <x:c r="F6" s="4"/>
      <x:c r="G6" s="4"/>
      <x:c r="H6" s="4"/>
      <x:c r="I6" s="4"/>
      <x:c r="J6" s="4"/>
      <x:c r="K6" s="4"/>
      <x:c r="L6" s="4"/>
    </x:row>
    <x:row r="7" ht="19" customHeight="1">
      <x:c r="A7" s="94" t="str">
        <x:v>Assets</x:v>
      </x:c>
      <x:c r="B7" s="94"/>
      <x:c r="C7" s="95"/>
      <x:c r="D7" s="95"/>
      <x:c r="E7" s="95"/>
      <x:c r="F7" s="95"/>
      <x:c r="G7" s="95"/>
      <x:c r="H7" s="95"/>
      <x:c r="I7" s="95"/>
      <x:c r="J7" s="95"/>
      <x:c r="K7" s="95"/>
      <x:c r="L7" s="95"/>
    </x:row>
    <x:row r="8" ht="19" customHeight="1">
      <x:c r="A8" s="1" t="str">
        <x:v>Property, plant and equipment</x:v>
      </x:c>
      <x:c r="B8" s="1"/>
      <x:c r="C8" s="26" t="n">
        <x:f>'02_Raw_Financials'!C22</x:f>
        <x:v>374.3544</x:v>
      </x:c>
      <x:c r="D8" s="26" t="n">
        <x:f>'02_Raw_Financials'!D22</x:f>
        <x:v>395.8629</x:v>
      </x:c>
      <x:c r="E8" s="26" t="n">
        <x:f>'02_Raw_Financials'!E22</x:f>
        <x:v>459.2005</x:v>
      </x:c>
      <x:c r="F8" s="26" t="n">
        <x:f>'02_Raw_Financials'!F22</x:f>
        <x:v>706.52</x:v>
      </x:c>
      <x:c r="G8" s="26" t="n">
        <x:f>'02_Raw_Financials'!G22</x:f>
        <x:v>860.08</x:v>
      </x:c>
      <x:c r="H8" s="26" t="n">
        <x:f>'06_Schedules'!H27</x:f>
        <x:v>1103.31405</x:v>
      </x:c>
      <x:c r="I8" s="26" t="n">
        <x:f>'06_Schedules'!I27</x:f>
        <x:v>1331.4614105</x:v>
      </x:c>
      <x:c r="J8" s="26" t="n">
        <x:f>'06_Schedules'!J27</x:f>
        <x:v>1485.177696055</x:v>
      </x:c>
      <x:c r="K8" s="26" t="n">
        <x:f>'06_Schedules'!K27</x:f>
        <x:v>1627.23810966005</x:v>
      </x:c>
      <x:c r="L8" s="26" t="n">
        <x:f>'06_Schedules'!L27</x:f>
        <x:v>1766.1973829156454</x:v>
      </x:c>
    </x:row>
    <x:row r="9" ht="19" customHeight="1">
      <x:c r="A9" s="1" t="str">
        <x:v>Capital work in progress</x:v>
      </x:c>
      <x:c r="B9" s="1"/>
      <x:c r="C9" s="26" t="n">
        <x:f>'02_Raw_Financials'!C23</x:f>
        <x:v>8.4404</x:v>
      </x:c>
      <x:c r="D9" s="26" t="n">
        <x:f>'02_Raw_Financials'!D23</x:f>
        <x:v>13.9856</x:v>
      </x:c>
      <x:c r="E9" s="26" t="n">
        <x:f>'02_Raw_Financials'!E23</x:f>
        <x:v>37.9008</x:v>
      </x:c>
      <x:c r="F9" s="26" t="n">
        <x:f>'02_Raw_Financials'!F23</x:f>
        <x:v>69.9</x:v>
      </x:c>
      <x:c r="G9" s="26" t="n">
        <x:f>'02_Raw_Financials'!G23</x:f>
        <x:v>111.5</x:v>
      </x:c>
      <x:c r="H9" s="26" t="n">
        <x:f>'06_Schedules'!H28</x:f>
        <x:v>125.75</x:v>
      </x:c>
      <x:c r="I9" s="26" t="n">
        <x:f>'06_Schedules'!I28</x:f>
        <x:v>132.875</x:v>
      </x:c>
      <x:c r="J9" s="26" t="n">
        <x:f>'06_Schedules'!J28</x:f>
        <x:v>121.4375</x:v>
      </x:c>
      <x:c r="K9" s="26" t="n">
        <x:f>'06_Schedules'!K28</x:f>
        <x:v>117.71875</x:v>
      </x:c>
      <x:c r="L9" s="26" t="n">
        <x:f>'06_Schedules'!L28</x:f>
        <x:v>118.859375</x:v>
      </x:c>
    </x:row>
    <x:row r="10" ht="19" customHeight="1">
      <x:c r="A10" s="1" t="str">
        <x:v>Right-of-use assets</x:v>
      </x:c>
      <x:c r="B10" s="1"/>
      <x:c r="C10" s="26" t="n">
        <x:f>'02_Raw_Financials'!C24</x:f>
        <x:v>39.1692</x:v>
      </x:c>
      <x:c r="D10" s="26" t="n">
        <x:f>'02_Raw_Financials'!D24</x:f>
        <x:v>34.4636</x:v>
      </x:c>
      <x:c r="E10" s="26" t="n">
        <x:f>'02_Raw_Financials'!E24</x:f>
        <x:v>27.7177</x:v>
      </x:c>
      <x:c r="F10" s="26" t="n">
        <x:f>'02_Raw_Financials'!F24</x:f>
        <x:v>26.35</x:v>
      </x:c>
      <x:c r="G10" s="26" t="n">
        <x:f>'02_Raw_Financials'!G24</x:f>
        <x:v>73.05</x:v>
      </x:c>
      <x:c r="H10" s="26" t="n">
        <x:f>'06_Schedules'!H41</x:f>
        <x:v>75.05</x:v>
      </x:c>
      <x:c r="I10" s="26" t="n">
        <x:f>'06_Schedules'!I41</x:f>
        <x:v>77.05</x:v>
      </x:c>
      <x:c r="J10" s="26" t="n">
        <x:f>'06_Schedules'!J41</x:f>
        <x:v>79.05</x:v>
      </x:c>
      <x:c r="K10" s="26" t="n">
        <x:f>'06_Schedules'!K41</x:f>
        <x:v>81.05</x:v>
      </x:c>
      <x:c r="L10" s="26" t="n">
        <x:f>'06_Schedules'!L41</x:f>
        <x:v>83.05</x:v>
      </x:c>
    </x:row>
    <x:row r="11" ht="19" customHeight="1">
      <x:c r="A11" s="1" t="str">
        <x:v>Goodwill and intangible assets</x:v>
      </x:c>
      <x:c r="B11" s="1"/>
      <x:c r="C11" s="26" t="n">
        <x:f>'02_Raw_Financials'!C25</x:f>
        <x:v>182.9103</x:v>
      </x:c>
      <x:c r="D11" s="26" t="n">
        <x:f>'02_Raw_Financials'!D25</x:f>
        <x:v>160.4575</x:v>
      </x:c>
      <x:c r="E11" s="26" t="n">
        <x:f>'02_Raw_Financials'!E25</x:f>
        <x:v>138.3926</x:v>
      </x:c>
      <x:c r="F11" s="26" t="n">
        <x:f>'02_Raw_Financials'!F25</x:f>
        <x:v>132.09</x:v>
      </x:c>
      <x:c r="G11" s="26" t="n">
        <x:f>'02_Raw_Financials'!G25</x:f>
        <x:v>105.53999999999999</x:v>
      </x:c>
      <x:c r="H11" s="26" t="n">
        <x:f>SUM('06_Schedules'!H31,'06_Schedules'!H33:'06_Schedules'!H34)</x:f>
        <x:v>82.872</x:v>
      </x:c>
      <x:c r="I11" s="26" t="n">
        <x:f>SUM('06_Schedules'!I31,'06_Schedules'!I33:'06_Schedules'!I34)</x:f>
        <x:v>62.751599999999996</x:v>
      </x:c>
      <x:c r="J11" s="26" t="n">
        <x:f>SUM('06_Schedules'!J31,'06_Schedules'!J33:'06_Schedules'!J34)</x:f>
        <x:v>44.66928</x:v>
      </x:c>
      <x:c r="K11" s="26" t="n">
        <x:f>SUM('06_Schedules'!K31,'06_Schedules'!K33:'06_Schedules'!K34)</x:f>
        <x:v>28.217423999999998</x:v>
      </x:c>
      <x:c r="L11" s="26" t="n">
        <x:f>SUM('06_Schedules'!L31,'06_Schedules'!L33:'06_Schedules'!L34)</x:f>
        <x:v>22.979939199999997</x:v>
      </x:c>
    </x:row>
    <x:row r="12" ht="19" customHeight="1">
      <x:c r="A12" s="1" t="str">
        <x:v>Other non-current assets</x:v>
      </x:c>
      <x:c r="B12" s="1"/>
      <x:c r="C12" s="26" t="n">
        <x:f>'02_Raw_Financials'!C26</x:f>
        <x:v>44.6012</x:v>
      </x:c>
      <x:c r="D12" s="26" t="n">
        <x:f>'02_Raw_Financials'!D26</x:f>
        <x:v>39.0351</x:v>
      </x:c>
      <x:c r="E12" s="26" t="n">
        <x:f>'02_Raw_Financials'!E26</x:f>
        <x:v>29.475699999999996</x:v>
      </x:c>
      <x:c r="F12" s="26" t="n">
        <x:f>'02_Raw_Financials'!F26</x:f>
        <x:v>34.209999999999994</x:v>
      </x:c>
      <x:c r="G12" s="26" t="n">
        <x:f>'02_Raw_Financials'!G26</x:f>
        <x:v>32.91</x:v>
      </x:c>
      <x:c r="H12" s="4" t="n">
        <x:f>G12</x:f>
        <x:v>32.91</x:v>
      </x:c>
      <x:c r="I12" s="4" t="n">
        <x:f>H12</x:f>
        <x:v>32.91</x:v>
      </x:c>
      <x:c r="J12" s="4" t="n">
        <x:f>I12</x:f>
        <x:v>32.91</x:v>
      </x:c>
      <x:c r="K12" s="4" t="n">
        <x:f>J12</x:f>
        <x:v>32.91</x:v>
      </x:c>
      <x:c r="L12" s="4" t="n">
        <x:f>K12</x:f>
        <x:v>32.91</x:v>
      </x:c>
    </x:row>
    <x:row r="13" ht="19" customHeight="1">
      <x:c r="A13" s="1" t="str">
        <x:v>Inventories</x:v>
      </x:c>
      <x:c r="B13" s="1"/>
      <x:c r="C13" s="26" t="n">
        <x:f>'02_Raw_Financials'!C27</x:f>
        <x:v>236.4727</x:v>
      </x:c>
      <x:c r="D13" s="26" t="n">
        <x:f>'02_Raw_Financials'!D27</x:f>
        <x:v>271.6792</x:v>
      </x:c>
      <x:c r="E13" s="26" t="n">
        <x:f>'02_Raw_Financials'!E27</x:f>
        <x:v>320.265</x:v>
      </x:c>
      <x:c r="F13" s="26" t="n">
        <x:f>'02_Raw_Financials'!F27</x:f>
        <x:v>362.63</x:v>
      </x:c>
      <x:c r="G13" s="26" t="n">
        <x:f>'02_Raw_Financials'!G27</x:f>
        <x:v>539.33</x:v>
      </x:c>
      <x:c r="H13" s="26" t="n">
        <x:f>'06_Schedules'!H14</x:f>
        <x:v>597.801295210959</x:v>
      </x:c>
      <x:c r="I13" s="26" t="n">
        <x:f>'06_Schedules'!I14</x:f>
        <x:v>662.2220913863015</x:v>
      </x:c>
      <x:c r="J13" s="26" t="n">
        <x:f>'06_Schedules'!J14</x:f>
        <x:v>728.6220049946085</x:v>
      </x:c>
      <x:c r="K13" s="26" t="n">
        <x:f>'06_Schedules'!K14</x:f>
        <x:v>792.4771558707133</x:v>
      </x:c>
      <x:c r="L13" s="26" t="n">
        <x:f>'06_Schedules'!L14</x:f>
        <x:v>853.3740758158507</x:v>
      </x:c>
    </x:row>
    <x:row r="14" ht="19" customHeight="1">
      <x:c r="A14" s="1" t="str">
        <x:v>Trade receivables</x:v>
      </x:c>
      <x:c r="B14" s="1"/>
      <x:c r="C14" s="26" t="n">
        <x:f>'02_Raw_Financials'!C28</x:f>
        <x:v>238.9208</x:v>
      </x:c>
      <x:c r="D14" s="26" t="n">
        <x:f>'02_Raw_Financials'!D28</x:f>
        <x:v>268.9791</x:v>
      </x:c>
      <x:c r="E14" s="26" t="n">
        <x:f>'02_Raw_Financials'!E28</x:f>
        <x:v>287.0407</x:v>
      </x:c>
      <x:c r="F14" s="26" t="n">
        <x:f>'02_Raw_Financials'!F28</x:f>
        <x:v>472.74</x:v>
      </x:c>
      <x:c r="G14" s="26" t="n">
        <x:f>'02_Raw_Financials'!G28</x:f>
        <x:v>577.8</x:v>
      </x:c>
      <x:c r="H14" s="26" t="n">
        <x:f>'06_Schedules'!H15</x:f>
        <x:v>637.853693150685</x:v>
      </x:c>
      <x:c r="I14" s="26" t="n">
        <x:f>'06_Schedules'!I15</x:f>
        <x:v>708.1874665753427</x:v>
      </x:c>
      <x:c r="J14" s="26" t="n">
        <x:f>'06_Schedules'!J15</x:f>
        <x:v>780.9611362383564</x:v>
      </x:c>
      <x:c r="K14" s="26" t="n">
        <x:f>'06_Schedules'!K15</x:f>
        <x:v>850.3662386853703</x:v>
      </x:c>
      <x:c r="L14" s="26" t="n">
        <x:f>'06_Schedules'!L15</x:f>
        <x:v>915.7115730936202</x:v>
      </x:c>
    </x:row>
    <x:row r="15" ht="19" customHeight="1">
      <x:c r="A15" s="1" t="str">
        <x:v>Cash and cash equivalents</x:v>
      </x:c>
      <x:c r="B15" s="1"/>
      <x:c r="C15" s="26" t="n">
        <x:f>'02_Raw_Financials'!C29</x:f>
        <x:v>22.5859</x:v>
      </x:c>
      <x:c r="D15" s="26" t="n">
        <x:f>'02_Raw_Financials'!D29</x:f>
        <x:v>55.9968</x:v>
      </x:c>
      <x:c r="E15" s="26" t="n">
        <x:f>'02_Raw_Financials'!E29</x:f>
        <x:v>112.5423</x:v>
      </x:c>
      <x:c r="F15" s="26" t="n">
        <x:f>'02_Raw_Financials'!F29</x:f>
        <x:v>101.08</x:v>
      </x:c>
      <x:c r="G15" s="26" t="n">
        <x:f>'02_Raw_Financials'!G29</x:f>
        <x:v>117.9</x:v>
      </x:c>
      <x:c r="H15" s="26" t="n">
        <x:f>'09_Cash_Flow'!H13</x:f>
        <x:v>87.85531999999999</x:v>
      </x:c>
      <x:c r="I15" s="26" t="n">
        <x:f>'09_Cash_Flow'!I13</x:f>
        <x:v>97.54280200000002</x:v>
      </x:c>
      <x:c r="J15" s="26" t="n">
        <x:f>'09_Cash_Flow'!J13</x:f>
        <x:v>107.56634518000001</x:v>
      </x:c>
      <x:c r="K15" s="26" t="n">
        <x:f>'09_Cash_Flow'!K13</x:f>
        <x:v>117.12591589440001</x:v>
      </x:c>
      <x:c r="L15" s="26" t="n">
        <x:f>'09_Cash_Flow'!L13</x:f>
        <x:v>126.126311011008</x:v>
      </x:c>
    </x:row>
    <x:row r="16" ht="19" customHeight="1">
      <x:c r="A16" s="1" t="str">
        <x:v>Current investments</x:v>
      </x:c>
      <x:c r="B16" s="1"/>
      <x:c r="C16" s="26" t="n">
        <x:f>'02_Raw_Financials'!C30</x:f>
        <x:v>2.1302</x:v>
      </x:c>
      <x:c r="D16" s="26" t="n">
        <x:f>'02_Raw_Financials'!D30</x:f>
        <x:v>3.6392</x:v>
      </x:c>
      <x:c r="E16" s="26" t="n">
        <x:f>'02_Raw_Financials'!E30</x:f>
        <x:v>5.1685</x:v>
      </x:c>
      <x:c r="F16" s="26" t="n">
        <x:f>'02_Raw_Financials'!F30</x:f>
        <x:v>6.94</x:v>
      </x:c>
      <x:c r="G16" s="26" t="n">
        <x:f>'02_Raw_Financials'!G30</x:f>
        <x:v>6.86</x:v>
      </x:c>
      <x:c r="H16" s="4" t="n">
        <x:f>G16</x:f>
        <x:v>6.86</x:v>
      </x:c>
      <x:c r="I16" s="4" t="n">
        <x:f>H16</x:f>
        <x:v>6.86</x:v>
      </x:c>
      <x:c r="J16" s="4" t="n">
        <x:f>I16</x:f>
        <x:v>6.86</x:v>
      </x:c>
      <x:c r="K16" s="4" t="n">
        <x:f>J16</x:f>
        <x:v>6.86</x:v>
      </x:c>
      <x:c r="L16" s="4" t="n">
        <x:f>K16</x:f>
        <x:v>6.86</x:v>
      </x:c>
    </x:row>
    <x:row r="17" ht="19" customHeight="1">
      <x:c r="A17" s="1" t="str">
        <x:v>Other current assets / held for sale</x:v>
      </x:c>
      <x:c r="B17" s="1"/>
      <x:c r="C17" s="26" t="n">
        <x:f>'02_Raw_Financials'!C31</x:f>
        <x:v>49.169799999999995</x:v>
      </x:c>
      <x:c r="D17" s="26" t="n">
        <x:f>'02_Raw_Financials'!D31</x:f>
        <x:v>63.4059</x:v>
      </x:c>
      <x:c r="E17" s="26" t="n">
        <x:f>'02_Raw_Financials'!E31</x:f>
        <x:v>17.9343</x:v>
      </x:c>
      <x:c r="F17" s="26" t="n">
        <x:f>'02_Raw_Financials'!F31</x:f>
        <x:v>36.9</x:v>
      </x:c>
      <x:c r="G17" s="26" t="n">
        <x:f>'02_Raw_Financials'!G31</x:f>
        <x:v>50.330000000000005</x:v>
      </x:c>
      <x:c r="H17" s="4" t="n">
        <x:f>G17</x:f>
        <x:v>50.330000000000005</x:v>
      </x:c>
      <x:c r="I17" s="4" t="n">
        <x:f>H17</x:f>
        <x:v>50.330000000000005</x:v>
      </x:c>
      <x:c r="J17" s="4" t="n">
        <x:f>I17</x:f>
        <x:v>50.330000000000005</x:v>
      </x:c>
      <x:c r="K17" s="4" t="n">
        <x:f>J17</x:f>
        <x:v>50.330000000000005</x:v>
      </x:c>
      <x:c r="L17" s="4" t="n">
        <x:f>K17</x:f>
        <x:v>50.330000000000005</x:v>
      </x:c>
    </x:row>
    <x:row r="18" ht="19" customHeight="1">
      <x:c r="A18" s="74" t="str">
        <x:v>Total assets</x:v>
      </x:c>
      <x:c r="B18" s="74"/>
      <x:c r="C18" s="78" t="n">
        <x:f>SUM(C8:C17)</x:f>
        <x:v>1198.7549</x:v>
      </x:c>
      <x:c r="D18" s="78" t="n">
        <x:f>SUM(D8:D17)</x:f>
        <x:v>1307.5049</x:v>
      </x:c>
      <x:c r="E18" s="78" t="n">
        <x:f>SUM(E8:E17)</x:f>
        <x:v>1435.6381</x:v>
      </x:c>
      <x:c r="F18" s="78" t="n">
        <x:f>SUM(F8:F17)</x:f>
        <x:v>1949.3600000000001</x:v>
      </x:c>
      <x:c r="G18" s="78" t="n">
        <x:f>SUM(G8:G17)</x:f>
        <x:v>2475.3</x:v>
      </x:c>
      <x:c r="H18" s="78" t="n">
        <x:f>SUM(H8:H17)</x:f>
        <x:v>2800.5963583616444</x:v>
      </x:c>
      <x:c r="I18" s="78" t="n">
        <x:f>SUM(I8:I17)</x:f>
        <x:v>3162.1903704616443</x:v>
      </x:c>
      <x:c r="J18" s="78" t="n">
        <x:f>SUM(J8:J17)</x:f>
        <x:v>3437.583962467965</x:v>
      </x:c>
      <x:c r="K18" s="78" t="n">
        <x:f>SUM(K8:K17)</x:f>
        <x:v>3704.2935941105334</x:v>
      </x:c>
      <x:c r="L18" s="78" t="n">
        <x:f>SUM(L8:L17)</x:f>
        <x:v>3976.3986570361244</x:v>
      </x:c>
    </x:row>
    <x:row r="19" ht="19" customHeight="1">
      <x:c r="A19" s="1"/>
      <x:c r="B19" s="1"/>
      <x:c r="C19" s="4"/>
      <x:c r="D19" s="4"/>
      <x:c r="E19" s="4"/>
      <x:c r="F19" s="4"/>
      <x:c r="G19" s="4"/>
      <x:c r="H19" s="4"/>
      <x:c r="I19" s="4"/>
      <x:c r="J19" s="4"/>
      <x:c r="K19" s="4"/>
      <x:c r="L19" s="4"/>
    </x:row>
    <x:row r="20" ht="19" customHeight="1">
      <x:c r="A20" s="1"/>
      <x:c r="B20" s="1"/>
      <x:c r="C20" s="4"/>
      <x:c r="D20" s="4"/>
      <x:c r="E20" s="4"/>
      <x:c r="F20" s="4"/>
      <x:c r="G20" s="4"/>
      <x:c r="H20" s="4"/>
      <x:c r="I20" s="4"/>
      <x:c r="J20" s="4"/>
      <x:c r="K20" s="4"/>
      <x:c r="L20" s="4"/>
    </x:row>
    <x:row r="21" ht="19" customHeight="1">
      <x:c r="A21" s="94" t="str">
        <x:v>Equity and liabilities</x:v>
      </x:c>
      <x:c r="B21" s="94"/>
      <x:c r="C21" s="95"/>
      <x:c r="D21" s="95"/>
      <x:c r="E21" s="95"/>
      <x:c r="F21" s="95"/>
      <x:c r="G21" s="95"/>
      <x:c r="H21" s="95"/>
      <x:c r="I21" s="95"/>
      <x:c r="J21" s="95"/>
      <x:c r="K21" s="95"/>
      <x:c r="L21" s="95"/>
    </x:row>
    <x:row r="22" ht="19" customHeight="1">
      <x:c r="A22" s="1" t="str">
        <x:v>Share capital</x:v>
      </x:c>
      <x:c r="B22" s="1"/>
      <x:c r="C22" s="26" t="n">
        <x:f>'02_Raw_Financials'!C36</x:f>
        <x:v>12.1881</x:v>
      </x:c>
      <x:c r="D22" s="26" t="n">
        <x:f>'02_Raw_Financials'!D36</x:f>
        <x:v>12.1881</x:v>
      </x:c>
      <x:c r="E22" s="26" t="n">
        <x:f>'02_Raw_Financials'!E36</x:f>
        <x:v>12.1881</x:v>
      </x:c>
      <x:c r="F22" s="26" t="n">
        <x:f>'02_Raw_Financials'!F36</x:f>
        <x:v>12.19</x:v>
      </x:c>
      <x:c r="G22" s="26" t="n">
        <x:f>'02_Raw_Financials'!G36</x:f>
        <x:v>12.19</x:v>
      </x:c>
      <x:c r="H22" s="4" t="n">
        <x:f>G22</x:f>
        <x:v>12.19</x:v>
      </x:c>
      <x:c r="I22" s="4" t="n">
        <x:f>H22</x:f>
        <x:v>12.19</x:v>
      </x:c>
      <x:c r="J22" s="4" t="n">
        <x:f>I22</x:f>
        <x:v>12.19</x:v>
      </x:c>
      <x:c r="K22" s="4" t="n">
        <x:f>J22</x:f>
        <x:v>12.19</x:v>
      </x:c>
      <x:c r="L22" s="4" t="n">
        <x:f>K22</x:f>
        <x:v>12.19</x:v>
      </x:c>
    </x:row>
    <x:row r="23" ht="19" customHeight="1">
      <x:c r="A23" s="1" t="str">
        <x:v>Other equity</x:v>
      </x:c>
      <x:c r="B23" s="1"/>
      <x:c r="C23" s="26" t="n">
        <x:f>'02_Raw_Financials'!C37</x:f>
        <x:v>563.9943</x:v>
      </x:c>
      <x:c r="D23" s="26" t="n">
        <x:f>'02_Raw_Financials'!D37</x:f>
        <x:v>692.0946</x:v>
      </x:c>
      <x:c r="E23" s="26" t="n">
        <x:f>'02_Raw_Financials'!E37</x:f>
        <x:v>833.084</x:v>
      </x:c>
      <x:c r="F23" s="26" t="n">
        <x:f>'02_Raw_Financials'!F37</x:f>
        <x:v>1003.84</x:v>
      </x:c>
      <x:c r="G23" s="26" t="n">
        <x:f>'02_Raw_Financials'!G37</x:f>
        <x:v>1242.7</x:v>
      </x:c>
      <x:c r="H23" s="26" t="n">
        <x:f>'06_Schedules'!H69</x:f>
        <x:v>1481.8915980250001</x:v>
      </x:c>
      <x:c r="I23" s="26" t="n">
        <x:f>'06_Schedules'!I69</x:f>
        <x:v>1750.1926079821642</x:v>
      </x:c>
      <x:c r="J23" s="26" t="n">
        <x:f>'06_Schedules'!J69</x:f>
        <x:v>2053.0943327569057</x:v>
      </x:c>
      <x:c r="K23" s="26" t="n">
        <x:f>'06_Schedules'!K69</x:f>
        <x:v>2395.6018558752467</x:v>
      </x:c>
      <x:c r="L23" s="26" t="n">
        <x:f>'06_Schedules'!L69</x:f>
        <x:v>2781.3738381374997</x:v>
      </x:c>
    </x:row>
    <x:row r="24" ht="19" customHeight="1">
      <x:c r="A24" s="1" t="str">
        <x:v>Non-controlling interests</x:v>
      </x:c>
      <x:c r="B24" s="1"/>
      <x:c r="C24" s="26" t="n">
        <x:f>'02_Raw_Financials'!C38</x:f>
        <x:v>0</x:v>
      </x:c>
      <x:c r="D24" s="26" t="n">
        <x:f>'02_Raw_Financials'!D38</x:f>
        <x:v>0</x:v>
      </x:c>
      <x:c r="E24" s="26" t="n">
        <x:f>'02_Raw_Financials'!E38</x:f>
        <x:v>0</x:v>
      </x:c>
      <x:c r="F24" s="26" t="n">
        <x:f>'02_Raw_Financials'!F38</x:f>
        <x:v>0</x:v>
      </x:c>
      <x:c r="G24" s="26" t="n">
        <x:f>'02_Raw_Financials'!G38</x:f>
        <x:v>0</x:v>
      </x:c>
      <x:c r="H24" s="4" t="n">
        <x:f>G24</x:f>
        <x:v>0</x:v>
      </x:c>
      <x:c r="I24" s="4" t="n">
        <x:f>H24</x:f>
        <x:v>0</x:v>
      </x:c>
      <x:c r="J24" s="4" t="n">
        <x:f>I24</x:f>
        <x:v>0</x:v>
      </x:c>
      <x:c r="K24" s="4" t="n">
        <x:f>J24</x:f>
        <x:v>0</x:v>
      </x:c>
      <x:c r="L24" s="4" t="n">
        <x:f>K24</x:f>
        <x:v>0</x:v>
      </x:c>
    </x:row>
    <x:row r="25" ht="19" customHeight="1">
      <x:c r="A25" s="1" t="str">
        <x:v>Non-current borrowings</x:v>
      </x:c>
      <x:c r="B25" s="1"/>
      <x:c r="C25" s="26" t="n">
        <x:f>'02_Raw_Financials'!C39</x:f>
        <x:v>93.1098</x:v>
      </x:c>
      <x:c r="D25" s="26" t="n">
        <x:f>'02_Raw_Financials'!D39</x:f>
        <x:v>26.7581</x:v>
      </x:c>
      <x:c r="E25" s="26" t="n">
        <x:f>'02_Raw_Financials'!E39</x:f>
        <x:v>0</x:v>
      </x:c>
      <x:c r="F25" s="26" t="n">
        <x:f>'02_Raw_Financials'!F39</x:f>
        <x:v>67.81</x:v>
      </x:c>
      <x:c r="G25" s="26" t="n">
        <x:f>'02_Raw_Financials'!G39</x:f>
        <x:v>97.16</x:v>
      </x:c>
      <x:c r="H25" s="26" t="n">
        <x:f>MIN(MAX(0,G25-'06_Schedules'!H51),'06_Schedules'!H60)</x:f>
        <x:v>77.16</x:v>
      </x:c>
      <x:c r="I25" s="26" t="n">
        <x:f>MIN(MAX(0,H25-'06_Schedules'!I51),'06_Schedules'!I60)</x:f>
        <x:v>57.16</x:v>
      </x:c>
      <x:c r="J25" s="26" t="n">
        <x:f>MIN(MAX(0,I25-'06_Schedules'!J51),'06_Schedules'!J60)</x:f>
        <x:v>37.16</x:v>
      </x:c>
      <x:c r="K25" s="26" t="n">
        <x:f>MIN(MAX(0,J25-'06_Schedules'!K51),'06_Schedules'!K60)</x:f>
        <x:v>17.159999999999997</x:v>
      </x:c>
      <x:c r="L25" s="26" t="n">
        <x:f>MIN(MAX(0,K25-'06_Schedules'!L51),'06_Schedules'!L60)</x:f>
        <x:v>0</x:v>
      </x:c>
    </x:row>
    <x:row r="26" ht="19" customHeight="1">
      <x:c r="A26" s="1" t="str">
        <x:v>Current borrowings</x:v>
      </x:c>
      <x:c r="B26" s="1"/>
      <x:c r="C26" s="26" t="n">
        <x:f>'02_Raw_Financials'!C40</x:f>
        <x:v>34.9536</x:v>
      </x:c>
      <x:c r="D26" s="26" t="n">
        <x:f>'02_Raw_Financials'!D40</x:f>
        <x:v>62.4444</x:v>
      </x:c>
      <x:c r="E26" s="26" t="n">
        <x:f>'02_Raw_Financials'!E40</x:f>
        <x:v>46.6237</x:v>
      </x:c>
      <x:c r="F26" s="26" t="n">
        <x:f>'02_Raw_Financials'!F40</x:f>
        <x:v>200.83</x:v>
      </x:c>
      <x:c r="G26" s="26" t="n">
        <x:f>'02_Raw_Financials'!G40</x:f>
        <x:v>265.76</x:v>
      </x:c>
      <x:c r="H26" s="26" t="n">
        <x:f>'06_Schedules'!H60-H25</x:f>
        <x:v>319.29346512568475</x:v>
      </x:c>
      <x:c r="I26" s="26" t="n">
        <x:f>'06_Schedules'!I60-I25</x:f>
        <x:v>367.1656710931785</x:v>
      </x:c>
      <x:c r="J26" s="26" t="n">
        <x:f>'06_Schedules'!J60-J25</x:f>
        <x:v>292.2576247164508</x:v>
      </x:c>
      <x:c r="K26" s="26" t="n">
        <x:f>'06_Schedules'!K60-K25</x:f>
        <x:v>171.6045823645743</x:v>
      </x:c>
      <x:c r="L26" s="26" t="n">
        <x:f>'06_Schedules'!L60-L25</x:f>
        <x:v>13.200743082774835</x:v>
      </x:c>
    </x:row>
    <x:row r="27" ht="19" customHeight="1">
      <x:c r="A27" s="1" t="str">
        <x:v>Non-current lease liabilities</x:v>
      </x:c>
      <x:c r="B27" s="1"/>
      <x:c r="C27" s="26" t="n">
        <x:f>'02_Raw_Financials'!C41</x:f>
        <x:v>18.9981</x:v>
      </x:c>
      <x:c r="D27" s="26" t="n">
        <x:f>'02_Raw_Financials'!D41</x:f>
        <x:v>13.5795</x:v>
      </x:c>
      <x:c r="E27" s="26" t="n">
        <x:f>'02_Raw_Financials'!E41</x:f>
        <x:v>8.0269</x:v>
      </x:c>
      <x:c r="F27" s="26" t="n">
        <x:f>'02_Raw_Financials'!F41</x:f>
        <x:v>4.94</x:v>
      </x:c>
      <x:c r="G27" s="26" t="n">
        <x:f>'02_Raw_Financials'!G41</x:f>
        <x:v>11.4</x:v>
      </x:c>
      <x:c r="H27" s="26" t="n">
        <x:f>'06_Schedules'!H44-H28</x:f>
        <x:v>10.240000000000002</x:v>
      </x:c>
      <x:c r="I27" s="26" t="n">
        <x:f>'06_Schedules'!I44-I28</x:f>
        <x:v>11.240000000000002</x:v>
      </x:c>
      <x:c r="J27" s="26" t="n">
        <x:f>'06_Schedules'!J44-J28</x:f>
        <x:v>12.240000000000002</x:v>
      </x:c>
      <x:c r="K27" s="26" t="n">
        <x:f>'06_Schedules'!K44-K28</x:f>
        <x:v>13.240000000000002</x:v>
      </x:c>
      <x:c r="L27" s="26" t="n">
        <x:f>'06_Schedules'!L44-L28</x:f>
        <x:v>14.240000000000002</x:v>
      </x:c>
    </x:row>
    <x:row r="28" ht="19" customHeight="1">
      <x:c r="A28" s="1" t="str">
        <x:v>Current lease liabilities</x:v>
      </x:c>
      <x:c r="B28" s="1"/>
      <x:c r="C28" s="26" t="n">
        <x:f>'02_Raw_Financials'!C42</x:f>
        <x:v>6.3568</x:v>
      </x:c>
      <x:c r="D28" s="26" t="n">
        <x:f>'02_Raw_Financials'!D42</x:f>
        <x:v>7.5461</x:v>
      </x:c>
      <x:c r="E28" s="26" t="n">
        <x:f>'02_Raw_Financials'!E42</x:f>
        <x:v>6.2327</x:v>
      </x:c>
      <x:c r="F28" s="26" t="n">
        <x:f>'02_Raw_Financials'!F42</x:f>
        <x:v>5.27</x:v>
      </x:c>
      <x:c r="G28" s="26" t="n">
        <x:f>'02_Raw_Financials'!G42</x:f>
        <x:v>4.84</x:v>
      </x:c>
      <x:c r="H28" s="26" t="n">
        <x:f>MIN('05_Assumptions'!H25,'06_Schedules'!H44)</x:f>
        <x:v>7</x:v>
      </x:c>
      <x:c r="I28" s="26" t="n">
        <x:f>MIN('05_Assumptions'!I25,'06_Schedules'!I44)</x:f>
        <x:v>7</x:v>
      </x:c>
      <x:c r="J28" s="26" t="n">
        <x:f>MIN('05_Assumptions'!J25,'06_Schedules'!J44)</x:f>
        <x:v>7</x:v>
      </x:c>
      <x:c r="K28" s="26" t="n">
        <x:f>MIN('05_Assumptions'!K25,'06_Schedules'!K44)</x:f>
        <x:v>7</x:v>
      </x:c>
      <x:c r="L28" s="26" t="n">
        <x:f>MIN('05_Assumptions'!L25,'06_Schedules'!L44)</x:f>
        <x:v>7</x:v>
      </x:c>
    </x:row>
    <x:row r="29" ht="19" customHeight="1">
      <x:c r="A29" s="1" t="str">
        <x:v>Trade payables</x:v>
      </x:c>
      <x:c r="B29" s="1"/>
      <x:c r="C29" s="26" t="n">
        <x:f>'02_Raw_Financials'!C43</x:f>
        <x:v>269.9445</x:v>
      </x:c>
      <x:c r="D29" s="26" t="n">
        <x:f>'02_Raw_Financials'!D43</x:f>
        <x:v>282.63030000000003</x:v>
      </x:c>
      <x:c r="E29" s="26" t="n">
        <x:f>'02_Raw_Financials'!E43</x:f>
        <x:v>325.8118</x:v>
      </x:c>
      <x:c r="F29" s="26" t="n">
        <x:f>'02_Raw_Financials'!F43</x:f>
        <x:v>379.88</x:v>
      </x:c>
      <x:c r="G29" s="26" t="n">
        <x:f>'02_Raw_Financials'!G43</x:f>
        <x:v>546.23</x:v>
      </x:c>
      <x:c r="H29" s="26" t="n">
        <x:f>'06_Schedules'!H16</x:f>
        <x:v>597.801295210959</x:v>
      </x:c>
      <x:c r="I29" s="26" t="n">
        <x:f>'06_Schedules'!I16</x:f>
        <x:v>662.2220913863015</x:v>
      </x:c>
      <x:c r="J29" s="26" t="n">
        <x:f>'06_Schedules'!J16</x:f>
        <x:v>728.6220049946085</x:v>
      </x:c>
      <x:c r="K29" s="26" t="n">
        <x:f>'06_Schedules'!K16</x:f>
        <x:v>792.4771558707133</x:v>
      </x:c>
      <x:c r="L29" s="26" t="n">
        <x:f>'06_Schedules'!L16</x:f>
        <x:v>853.3740758158507</x:v>
      </x:c>
    </x:row>
    <x:row r="30" ht="19" customHeight="1">
      <x:c r="A30" s="1" t="str">
        <x:v>Other non-current liabilities</x:v>
      </x:c>
      <x:c r="B30" s="1"/>
      <x:c r="C30" s="26" t="n">
        <x:f>'02_Raw_Financials'!C44</x:f>
        <x:v>73.5779</x:v>
      </x:c>
      <x:c r="D30" s="26" t="n">
        <x:f>'02_Raw_Financials'!D44</x:f>
        <x:v>58.020900000000005</x:v>
      </x:c>
      <x:c r="E30" s="26" t="n">
        <x:f>'02_Raw_Financials'!E44</x:f>
        <x:v>56.730900000000005</x:v>
      </x:c>
      <x:c r="F30" s="26" t="n">
        <x:f>'02_Raw_Financials'!F44</x:f>
        <x:v>51.099999999999994</x:v>
      </x:c>
      <x:c r="G30" s="26" t="n">
        <x:f>'02_Raw_Financials'!G44</x:f>
        <x:v>41.55</x:v>
      </x:c>
      <x:c r="H30" s="4" t="n">
        <x:f>G30</x:f>
        <x:v>41.55</x:v>
      </x:c>
      <x:c r="I30" s="4" t="n">
        <x:f>H30</x:f>
        <x:v>41.55</x:v>
      </x:c>
      <x:c r="J30" s="4" t="n">
        <x:f>I30</x:f>
        <x:v>41.55</x:v>
      </x:c>
      <x:c r="K30" s="4" t="n">
        <x:f>J30</x:f>
        <x:v>41.55</x:v>
      </x:c>
      <x:c r="L30" s="4" t="n">
        <x:f>K30</x:f>
        <x:v>41.55</x:v>
      </x:c>
    </x:row>
    <x:row r="31" ht="19" customHeight="1">
      <x:c r="A31" s="1" t="str">
        <x:v>Other current liabilities / held for sale</x:v>
      </x:c>
      <x:c r="B31" s="1"/>
      <x:c r="C31" s="26" t="n">
        <x:f>'02_Raw_Financials'!C45</x:f>
        <x:v>125.63179999999998</x:v>
      </x:c>
      <x:c r="D31" s="26" t="n">
        <x:f>'02_Raw_Financials'!D45</x:f>
        <x:v>152.2429</x:v>
      </x:c>
      <x:c r="E31" s="26" t="n">
        <x:f>'02_Raw_Financials'!E45</x:f>
        <x:v>146.94</x:v>
      </x:c>
      <x:c r="F31" s="26" t="n">
        <x:f>'02_Raw_Financials'!F45</x:f>
        <x:v>223.5</x:v>
      </x:c>
      <x:c r="G31" s="26" t="n">
        <x:f>'02_Raw_Financials'!G45</x:f>
        <x:v>253.47000000000003</x:v>
      </x:c>
      <x:c r="H31" s="4" t="n">
        <x:f>G31</x:f>
        <x:v>253.47000000000003</x:v>
      </x:c>
      <x:c r="I31" s="4" t="n">
        <x:f>H31</x:f>
        <x:v>253.47000000000003</x:v>
      </x:c>
      <x:c r="J31" s="4" t="n">
        <x:f>I31</x:f>
        <x:v>253.47000000000003</x:v>
      </x:c>
      <x:c r="K31" s="4" t="n">
        <x:f>J31</x:f>
        <x:v>253.47000000000003</x:v>
      </x:c>
      <x:c r="L31" s="4" t="n">
        <x:f>K31</x:f>
        <x:v>253.47000000000003</x:v>
      </x:c>
    </x:row>
    <x:row r="32" ht="19" customHeight="1">
      <x:c r="A32" s="74" t="str">
        <x:v>Total equity and liabilities</x:v>
      </x:c>
      <x:c r="B32" s="74"/>
      <x:c r="C32" s="78" t="n">
        <x:f>SUM(C22:C31)</x:f>
        <x:v>1198.7549</x:v>
      </x:c>
      <x:c r="D32" s="78" t="n">
        <x:f>SUM(D22:D31)</x:f>
        <x:v>1307.5049000000001</x:v>
      </x:c>
      <x:c r="E32" s="78" t="n">
        <x:f>SUM(E22:E31)</x:f>
        <x:v>1435.6381</x:v>
      </x:c>
      <x:c r="F32" s="78" t="n">
        <x:f>SUM(F22:F31)</x:f>
        <x:v>1949.3600000000001</x:v>
      </x:c>
      <x:c r="G32" s="78" t="n">
        <x:f>SUM(G22:G31)</x:f>
        <x:v>2475.3</x:v>
      </x:c>
      <x:c r="H32" s="78" t="n">
        <x:f>SUM(H22:H31)</x:f>
        <x:v>2800.596358361644</x:v>
      </x:c>
      <x:c r="I32" s="78" t="n">
        <x:f>SUM(I22:I31)</x:f>
        <x:v>3162.1903704616443</x:v>
      </x:c>
      <x:c r="J32" s="78" t="n">
        <x:f>SUM(J22:J31)</x:f>
        <x:v>3437.5839624679647</x:v>
      </x:c>
      <x:c r="K32" s="78" t="n">
        <x:f>SUM(K22:K31)</x:f>
        <x:v>3704.2935941105343</x:v>
      </x:c>
      <x:c r="L32" s="78" t="n">
        <x:f>SUM(L22:L31)</x:f>
        <x:v>3976.398657036125</x:v>
      </x:c>
    </x:row>
    <x:row r="33" ht="19" customHeight="1">
      <x:c r="A33" s="1"/>
      <x:c r="B33" s="1"/>
      <x:c r="C33" s="4"/>
      <x:c r="D33" s="4"/>
      <x:c r="E33" s="4"/>
      <x:c r="F33" s="4"/>
      <x:c r="G33" s="4"/>
      <x:c r="H33" s="4"/>
      <x:c r="I33" s="4"/>
      <x:c r="J33" s="4"/>
      <x:c r="K33" s="4"/>
      <x:c r="L33" s="4"/>
    </x:row>
    <x:row r="34" ht="19" customHeight="1">
      <x:c r="A34" s="1"/>
      <x:c r="B34" s="1"/>
      <x:c r="C34" s="4"/>
      <x:c r="D34" s="4"/>
      <x:c r="E34" s="4"/>
      <x:c r="F34" s="4"/>
      <x:c r="G34" s="4"/>
      <x:c r="H34" s="4"/>
      <x:c r="I34" s="4"/>
      <x:c r="J34" s="4"/>
      <x:c r="K34" s="4"/>
      <x:c r="L34" s="4"/>
    </x:row>
    <x:row r="35" ht="19" customHeight="1">
      <x:c r="A35" s="1" t="str">
        <x:v>Assets less equity and liabilities</x:v>
      </x:c>
      <x:c r="B35" s="1"/>
      <x:c r="C35" s="86" t="n">
        <x:f>ROUND(C18-C32,8)</x:f>
        <x:v>0</x:v>
      </x:c>
      <x:c r="D35" s="86" t="n">
        <x:f>ROUND(D18-D32,8)</x:f>
        <x:v>0</x:v>
      </x:c>
      <x:c r="E35" s="86" t="n">
        <x:f>ROUND(E18-E32,8)</x:f>
        <x:v>0</x:v>
      </x:c>
      <x:c r="F35" s="86" t="n">
        <x:f>ROUND(F18-F32,8)</x:f>
        <x:v>0</x:v>
      </x:c>
      <x:c r="G35" s="86" t="n">
        <x:f>ROUND(G18-G32,8)</x:f>
        <x:v>0</x:v>
      </x:c>
      <x:c r="H35" s="86" t="n">
        <x:f>ROUND(H18-H32,8)</x:f>
        <x:v>0</x:v>
      </x:c>
      <x:c r="I35" s="86" t="n">
        <x:f>ROUND(I18-I32,8)</x:f>
        <x:v>0</x:v>
      </x:c>
      <x:c r="J35" s="86" t="n">
        <x:f>ROUND(J18-J32,8)</x:f>
        <x:v>0</x:v>
      </x:c>
      <x:c r="K35" s="86" t="n">
        <x:f>ROUND(K18-K32,8)</x:f>
        <x:v>0</x:v>
      </x:c>
      <x:c r="L35" s="86" t="n">
        <x:f>ROUND(L18-L32,8)</x:f>
        <x:v>0</x:v>
      </x:c>
    </x:row>
    <x:row r="36" ht="19" customHeight="1">
      <x:c r="A36" s="1" t="str">
        <x:v>Assets vs annual report</x:v>
      </x:c>
      <x:c r="B36" s="1"/>
      <x:c r="C36" s="86" t="n">
        <x:f>ROUND(C18-'02_Raw_Financials'!C32,8)</x:f>
        <x:v>0</x:v>
      </x:c>
      <x:c r="D36" s="86" t="n">
        <x:f>ROUND(D18-'02_Raw_Financials'!D32,8)</x:f>
        <x:v>0</x:v>
      </x:c>
      <x:c r="E36" s="86" t="n">
        <x:f>ROUND(E18-'02_Raw_Financials'!E32,8)</x:f>
        <x:v>0</x:v>
      </x:c>
      <x:c r="F36" s="86" t="n">
        <x:f>ROUND(F18-'02_Raw_Financials'!F32,8)</x:f>
        <x:v>0</x:v>
      </x:c>
      <x:c r="G36" s="86" t="n">
        <x:f>ROUND(G18-'02_Raw_Financials'!G32,8)</x:f>
        <x:v>0</x:v>
      </x:c>
      <x:c r="H36" s="86"/>
      <x:c r="I36" s="86"/>
      <x:c r="J36" s="86"/>
      <x:c r="K36" s="86"/>
      <x:c r="L36" s="86"/>
    </x:row>
    <x:row r="37" ht="19" customHeight="1">
      <x:c r="A37" s="1" t="str">
        <x:v>Equity and liabilities vs annual report</x:v>
      </x:c>
      <x:c r="B37" s="1"/>
      <x:c r="C37" s="86" t="n">
        <x:f>ROUND(C32-'02_Raw_Financials'!C46,8)</x:f>
        <x:v>0</x:v>
      </x:c>
      <x:c r="D37" s="86" t="n">
        <x:f>ROUND(D32-'02_Raw_Financials'!D46,8)</x:f>
        <x:v>0</x:v>
      </x:c>
      <x:c r="E37" s="86" t="n">
        <x:f>ROUND(E32-'02_Raw_Financials'!E46,8)</x:f>
        <x:v>0</x:v>
      </x:c>
      <x:c r="F37" s="86" t="n">
        <x:f>ROUND(F32-'02_Raw_Financials'!F46,8)</x:f>
        <x:v>0</x:v>
      </x:c>
      <x:c r="G37" s="86" t="n">
        <x:f>ROUND(G32-'02_Raw_Financials'!G46,8)</x:f>
        <x:v>0</x:v>
      </x:c>
      <x:c r="H37" s="86"/>
      <x:c r="I37" s="86"/>
      <x:c r="J37" s="86"/>
      <x:c r="K37" s="86"/>
      <x:c r="L37" s="86"/>
    </x:row>
    <x:row r="38" ht="19" customHeight="1">
      <x:c r="A38" s="1"/>
      <x:c r="B38" s="1"/>
      <x:c r="C38" s="4"/>
      <x:c r="D38" s="4"/>
      <x:c r="E38" s="4"/>
      <x:c r="F38" s="4"/>
      <x:c r="G38" s="4"/>
      <x:c r="H38" s="4"/>
      <x:c r="I38" s="4"/>
      <x:c r="J38" s="4"/>
      <x:c r="K38" s="4"/>
      <x:c r="L38" s="4"/>
    </x:row>
    <x:row r="39" ht="19" customHeight="1">
      <x:c r="A39" s="1"/>
      <x:c r="B39" s="1"/>
      <x:c r="C39" s="4"/>
      <x:c r="D39" s="4"/>
      <x:c r="E39" s="4"/>
      <x:c r="F39" s="4"/>
      <x:c r="G39" s="4"/>
      <x:c r="H39" s="4"/>
      <x:c r="I39" s="4"/>
      <x:c r="J39" s="4"/>
      <x:c r="K39" s="4"/>
      <x:c r="L39" s="4"/>
    </x:row>
    <x:row r="40" ht="32" customHeight="1">
      <x:c r="A40" s="62" t="str">
        <x:v>Other assets and liabilities are held at FY2026 balances. No acquisition, FX, OCI or deferred-tax changes are projected.</x:v>
      </x:c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</x:row>
    <x:row r="41" ht="19" customHeight="1">
      <x:c r="A41" s="1"/>
      <x:c r="B41" s="1"/>
      <x:c r="C41" s="4"/>
      <x:c r="D41" s="4"/>
      <x:c r="E41" s="4"/>
      <x:c r="F41" s="4"/>
      <x:c r="G41" s="4"/>
      <x:c r="H41" s="4"/>
      <x:c r="I41" s="4"/>
      <x:c r="J41" s="4"/>
      <x:c r="K41" s="4"/>
      <x:c r="L41" s="4"/>
    </x:row>
    <x:row r="42" ht="19" customHeight="1">
      <x:c r="A42" s="1"/>
      <x:c r="B42" s="1"/>
      <x:c r="C42" s="4"/>
      <x:c r="D42" s="4"/>
      <x:c r="E42" s="4"/>
      <x:c r="F42" s="4"/>
      <x:c r="G42" s="4"/>
      <x:c r="H42" s="4"/>
      <x:c r="I42" s="4"/>
      <x:c r="J42" s="4"/>
      <x:c r="K42" s="4"/>
      <x:c r="L42" s="4"/>
    </x:row>
    <x:row r="43" ht="19" customHeight="1">
      <x:c r="A43" s="1"/>
      <x:c r="B43" s="1"/>
      <x:c r="C43" s="4"/>
      <x:c r="D43" s="4"/>
      <x:c r="E43" s="4"/>
      <x:c r="F43" s="4"/>
      <x:c r="G43" s="4"/>
      <x:c r="H43" s="4"/>
      <x:c r="I43" s="4"/>
      <x:c r="J43" s="4"/>
      <x:c r="K43" s="4"/>
      <x:c r="L43" s="4"/>
    </x:row>
    <x:row r="44" ht="19" customHeight="1">
      <x:c r="A44" s="1"/>
      <x:c r="B44" s="1"/>
      <x:c r="C44" s="4"/>
      <x:c r="D44" s="4"/>
      <x:c r="E44" s="4"/>
      <x:c r="F44" s="4"/>
      <x:c r="G44" s="4"/>
      <x:c r="H44" s="4"/>
      <x:c r="I44" s="4"/>
      <x:c r="J44" s="4"/>
      <x:c r="K44" s="4"/>
      <x:c r="L44" s="4"/>
    </x:row>
    <x:row r="45" ht="19" customHeight="1">
      <x:c r="A45" s="1"/>
      <x:c r="B45" s="1"/>
      <x:c r="C45" s="4"/>
      <x:c r="D45" s="4"/>
      <x:c r="E45" s="4"/>
      <x:c r="F45" s="4"/>
      <x:c r="G45" s="4"/>
      <x:c r="H45" s="4"/>
      <x:c r="I45" s="4"/>
      <x:c r="J45" s="4"/>
      <x:c r="K45" s="4"/>
      <x:c r="L45" s="4"/>
    </x:row>
    <x:row r="46" ht="19" customHeight="1">
      <x:c r="A46" s="1"/>
      <x:c r="B46" s="1"/>
      <x:c r="C46" s="4"/>
      <x:c r="D46" s="4"/>
      <x:c r="E46" s="4"/>
      <x:c r="F46" s="4"/>
      <x:c r="G46" s="4"/>
      <x:c r="H46" s="4"/>
      <x:c r="I46" s="4"/>
      <x:c r="J46" s="4"/>
      <x:c r="K46" s="4"/>
      <x:c r="L46" s="4"/>
    </x:row>
    <x:row r="47" ht="19" customHeight="1">
      <x:c r="A47" s="1"/>
      <x:c r="B47" s="1"/>
      <x:c r="C47" s="4"/>
      <x:c r="D47" s="4"/>
      <x:c r="E47" s="4"/>
      <x:c r="F47" s="4"/>
      <x:c r="G47" s="4"/>
      <x:c r="H47" s="4"/>
      <x:c r="I47" s="4"/>
      <x:c r="J47" s="4"/>
      <x:c r="K47" s="4"/>
      <x:c r="L47" s="4"/>
    </x:row>
    <x:row r="48" ht="19" customHeight="1">
      <x:c r="A48" s="1"/>
      <x:c r="B48" s="1"/>
      <x:c r="C48" s="4"/>
      <x:c r="D48" s="4"/>
      <x:c r="E48" s="4"/>
      <x:c r="F48" s="4"/>
      <x:c r="G48" s="4"/>
      <x:c r="H48" s="4"/>
      <x:c r="I48" s="4"/>
      <x:c r="J48" s="4"/>
      <x:c r="K48" s="4"/>
      <x:c r="L48" s="4"/>
    </x:row>
    <x:row r="49" ht="19" customHeight="1">
      <x:c r="A49" s="1"/>
      <x:c r="B49" s="1"/>
      <x:c r="C49" s="4"/>
      <x:c r="D49" s="4"/>
      <x:c r="E49" s="4"/>
      <x:c r="F49" s="4"/>
      <x:c r="G49" s="4"/>
      <x:c r="H49" s="4"/>
      <x:c r="I49" s="4"/>
      <x:c r="J49" s="4"/>
      <x:c r="K49" s="4"/>
      <x:c r="L49" s="4"/>
    </x:row>
    <x:row r="50" ht="19" customHeight="1">
      <x:c r="A50" s="1"/>
      <x:c r="B50" s="1"/>
      <x:c r="C50" s="4"/>
      <x:c r="D50" s="4"/>
      <x:c r="E50" s="4"/>
      <x:c r="F50" s="4"/>
      <x:c r="G50" s="4"/>
      <x:c r="H50" s="4"/>
      <x:c r="I50" s="4"/>
      <x:c r="J50" s="4"/>
      <x:c r="K50" s="4"/>
      <x:c r="L50" s="4"/>
    </x:row>
    <x:row r="51" ht="19" customHeight="1">
      <x:c r="A51" s="1"/>
      <x:c r="B51" s="1"/>
      <x:c r="C51" s="4"/>
      <x:c r="D51" s="4"/>
      <x:c r="E51" s="4"/>
      <x:c r="F51" s="4"/>
      <x:c r="G51" s="4"/>
      <x:c r="H51" s="4"/>
      <x:c r="I51" s="4"/>
      <x:c r="J51" s="4"/>
      <x:c r="K51" s="4"/>
      <x:c r="L51" s="4"/>
    </x:row>
    <x:row r="52" ht="19" customHeight="1">
      <x:c r="A52" s="1"/>
      <x:c r="B52" s="1"/>
      <x:c r="C52" s="4"/>
      <x:c r="D52" s="4"/>
      <x:c r="E52" s="4"/>
      <x:c r="F52" s="4"/>
      <x:c r="G52" s="4"/>
      <x:c r="H52" s="4"/>
      <x:c r="I52" s="4"/>
      <x:c r="J52" s="4"/>
      <x:c r="K52" s="4"/>
      <x:c r="L52" s="4"/>
    </x:row>
    <x:row r="53" ht="19" customHeight="1">
      <x:c r="A53" s="1"/>
      <x:c r="B53" s="1"/>
      <x:c r="C53" s="4"/>
      <x:c r="D53" s="4"/>
      <x:c r="E53" s="4"/>
      <x:c r="F53" s="4"/>
      <x:c r="G53" s="4"/>
      <x:c r="H53" s="4"/>
      <x:c r="I53" s="4"/>
      <x:c r="J53" s="4"/>
      <x:c r="K53" s="4"/>
      <x:c r="L53" s="4"/>
    </x:row>
    <x:row r="54" ht="19" customHeight="1">
      <x:c r="A54" s="1"/>
      <x:c r="B54" s="1"/>
      <x:c r="C54" s="4"/>
      <x:c r="D54" s="4"/>
      <x:c r="E54" s="4"/>
      <x:c r="F54" s="4"/>
      <x:c r="G54" s="4"/>
      <x:c r="H54" s="4"/>
      <x:c r="I54" s="4"/>
      <x:c r="J54" s="4"/>
      <x:c r="K54" s="4"/>
      <x:c r="L54" s="4"/>
    </x:row>
    <x:row r="55" ht="19" customHeight="1">
      <x:c r="A55" s="1"/>
      <x:c r="B55" s="1"/>
      <x:c r="C55" s="4"/>
      <x:c r="D55" s="4"/>
      <x:c r="E55" s="4"/>
      <x:c r="F55" s="4"/>
      <x:c r="G55" s="4"/>
      <x:c r="H55" s="4"/>
      <x:c r="I55" s="4"/>
      <x:c r="J55" s="4"/>
      <x:c r="K55" s="4"/>
      <x:c r="L55" s="4"/>
    </x:row>
    <x:row r="56" ht="19" customHeight="1">
      <x:c r="A56" s="1"/>
      <x:c r="B56" s="1"/>
      <x:c r="C56" s="4"/>
      <x:c r="D56" s="4"/>
      <x:c r="E56" s="4"/>
      <x:c r="F56" s="4"/>
      <x:c r="G56" s="4"/>
      <x:c r="H56" s="4"/>
      <x:c r="I56" s="4"/>
      <x:c r="J56" s="4"/>
      <x:c r="K56" s="4"/>
      <x:c r="L56" s="4"/>
    </x:row>
    <x:row r="57" ht="19" customHeight="1">
      <x:c r="A57" s="1"/>
      <x:c r="B57" s="1"/>
      <x:c r="C57" s="4"/>
      <x:c r="D57" s="4"/>
      <x:c r="E57" s="4"/>
      <x:c r="F57" s="4"/>
      <x:c r="G57" s="4"/>
      <x:c r="H57" s="4"/>
      <x:c r="I57" s="4"/>
      <x:c r="J57" s="4"/>
      <x:c r="K57" s="4"/>
      <x:c r="L57" s="4"/>
    </x:row>
    <x:row r="58" ht="19" customHeight="1">
      <x:c r="A58" s="1"/>
      <x:c r="B58" s="1"/>
      <x:c r="C58" s="4"/>
      <x:c r="D58" s="4"/>
      <x:c r="E58" s="4"/>
      <x:c r="F58" s="4"/>
      <x:c r="G58" s="4"/>
      <x:c r="H58" s="4"/>
      <x:c r="I58" s="4"/>
      <x:c r="J58" s="4"/>
      <x:c r="K58" s="4"/>
      <x:c r="L58" s="4"/>
    </x:row>
    <x:row r="59" ht="19" customHeight="1">
      <x:c r="A59" s="1"/>
      <x:c r="B59" s="1"/>
      <x:c r="C59" s="4"/>
      <x:c r="D59" s="4"/>
      <x:c r="E59" s="4"/>
      <x:c r="F59" s="4"/>
      <x:c r="G59" s="4"/>
      <x:c r="H59" s="4"/>
      <x:c r="I59" s="4"/>
      <x:c r="J59" s="4"/>
      <x:c r="K59" s="4"/>
      <x:c r="L59" s="4"/>
    </x:row>
    <x:row r="60" ht="19" customHeight="1">
      <x:c r="A60" s="1"/>
      <x:c r="B60" s="1"/>
      <x:c r="C60" s="4"/>
      <x:c r="D60" s="4"/>
      <x:c r="E60" s="4"/>
      <x:c r="F60" s="4"/>
      <x:c r="G60" s="4"/>
      <x:c r="H60" s="4"/>
      <x:c r="I60" s="4"/>
      <x:c r="J60" s="4"/>
      <x:c r="K60" s="4"/>
      <x:c r="L60" s="4"/>
    </x:row>
    <x:row r="61" ht="19" customHeight="1">
      <x:c r="A61" s="1"/>
      <x:c r="B61" s="1"/>
      <x:c r="C61" s="4"/>
      <x:c r="D61" s="4"/>
      <x:c r="E61" s="4"/>
      <x:c r="F61" s="4"/>
      <x:c r="G61" s="4"/>
      <x:c r="H61" s="4"/>
      <x:c r="I61" s="4"/>
      <x:c r="J61" s="4"/>
      <x:c r="K61" s="4"/>
      <x:c r="L61" s="4"/>
    </x:row>
    <x:row r="62" ht="19" customHeight="1">
      <x:c r="A62" s="1"/>
      <x:c r="B62" s="1"/>
      <x:c r="C62" s="4"/>
      <x:c r="D62" s="4"/>
      <x:c r="E62" s="4"/>
      <x:c r="F62" s="4"/>
      <x:c r="G62" s="4"/>
      <x:c r="H62" s="4"/>
      <x:c r="I62" s="4"/>
      <x:c r="J62" s="4"/>
      <x:c r="K62" s="4"/>
      <x:c r="L62" s="4"/>
    </x:row>
    <x:row r="63" ht="19" customHeight="1">
      <x:c r="A63" s="1"/>
      <x:c r="B63" s="1"/>
      <x:c r="C63" s="4"/>
      <x:c r="D63" s="4"/>
      <x:c r="E63" s="4"/>
      <x:c r="F63" s="4"/>
      <x:c r="G63" s="4"/>
      <x:c r="H63" s="4"/>
      <x:c r="I63" s="4"/>
      <x:c r="J63" s="4"/>
      <x:c r="K63" s="4"/>
      <x:c r="L63" s="4"/>
    </x:row>
    <x:row r="64" ht="19" customHeight="1">
      <x:c r="A64" s="1"/>
      <x:c r="B64" s="1"/>
      <x:c r="C64" s="4"/>
      <x:c r="D64" s="4"/>
      <x:c r="E64" s="4"/>
      <x:c r="F64" s="4"/>
      <x:c r="G64" s="4"/>
      <x:c r="H64" s="4"/>
      <x:c r="I64" s="4"/>
      <x:c r="J64" s="4"/>
      <x:c r="K64" s="4"/>
      <x:c r="L64" s="4"/>
    </x:row>
    <x:row r="65" ht="19" customHeight="1">
      <x:c r="A65" s="1"/>
      <x:c r="B65" s="1"/>
      <x:c r="C65" s="4"/>
      <x:c r="D65" s="4"/>
      <x:c r="E65" s="4"/>
      <x:c r="F65" s="4"/>
      <x:c r="G65" s="4"/>
      <x:c r="H65" s="4"/>
      <x:c r="I65" s="4"/>
      <x:c r="J65" s="4"/>
      <x:c r="K65" s="4"/>
      <x:c r="L65" s="4"/>
    </x:row>
    <x:row r="66" ht="19" customHeight="1">
      <x:c r="A66" s="1"/>
      <x:c r="B66" s="1"/>
      <x:c r="C66" s="4"/>
      <x:c r="D66" s="4"/>
      <x:c r="E66" s="4"/>
      <x:c r="F66" s="4"/>
      <x:c r="G66" s="4"/>
      <x:c r="H66" s="4"/>
      <x:c r="I66" s="4"/>
      <x:c r="J66" s="4"/>
      <x:c r="K66" s="4"/>
      <x:c r="L66" s="4"/>
    </x:row>
    <x:row r="67" ht="19" customHeight="1">
      <x:c r="A67" s="1"/>
      <x:c r="B67" s="1"/>
      <x:c r="C67" s="4"/>
      <x:c r="D67" s="4"/>
      <x:c r="E67" s="4"/>
      <x:c r="F67" s="4"/>
      <x:c r="G67" s="4"/>
      <x:c r="H67" s="4"/>
      <x:c r="I67" s="4"/>
      <x:c r="J67" s="4"/>
      <x:c r="K67" s="4"/>
      <x:c r="L67" s="4"/>
    </x:row>
    <x:row r="68" ht="19" customHeight="1">
      <x:c r="A68" s="1"/>
      <x:c r="B68" s="1"/>
      <x:c r="C68" s="4"/>
      <x:c r="D68" s="4"/>
      <x:c r="E68" s="4"/>
      <x:c r="F68" s="4"/>
      <x:c r="G68" s="4"/>
      <x:c r="H68" s="4"/>
      <x:c r="I68" s="4"/>
      <x:c r="J68" s="4"/>
      <x:c r="K68" s="4"/>
      <x:c r="L68" s="4"/>
    </x:row>
    <x:row r="69" ht="19" customHeight="1">
      <x:c r="A69" s="1"/>
      <x:c r="B69" s="1"/>
      <x:c r="C69" s="4"/>
      <x:c r="D69" s="4"/>
      <x:c r="E69" s="4"/>
      <x:c r="F69" s="4"/>
      <x:c r="G69" s="4"/>
      <x:c r="H69" s="4"/>
      <x:c r="I69" s="4"/>
      <x:c r="J69" s="4"/>
      <x:c r="K69" s="4"/>
      <x:c r="L69" s="4"/>
    </x:row>
    <x:row r="70" ht="19" customHeight="1">
      <x:c r="A70" s="1"/>
      <x:c r="B70" s="1"/>
      <x:c r="C70" s="4"/>
      <x:c r="D70" s="4"/>
      <x:c r="E70" s="4"/>
      <x:c r="F70" s="4"/>
      <x:c r="G70" s="4"/>
      <x:c r="H70" s="4"/>
      <x:c r="I70" s="4"/>
      <x:c r="J70" s="4"/>
      <x:c r="K70" s="4"/>
      <x:c r="L70" s="4"/>
    </x:row>
    <x:row r="71" ht="19" customHeight="1">
      <x:c r="A71" s="1"/>
      <x:c r="B71" s="1"/>
      <x:c r="C71" s="4"/>
      <x:c r="D71" s="4"/>
      <x:c r="E71" s="4"/>
      <x:c r="F71" s="4"/>
      <x:c r="G71" s="4"/>
      <x:c r="H71" s="4"/>
      <x:c r="I71" s="4"/>
      <x:c r="J71" s="4"/>
      <x:c r="K71" s="4"/>
      <x:c r="L71" s="4"/>
    </x:row>
    <x:row r="72" ht="19" customHeight="1">
      <x:c r="A72" s="1"/>
      <x:c r="B72" s="1"/>
      <x:c r="C72" s="4"/>
      <x:c r="D72" s="4"/>
      <x:c r="E72" s="4"/>
      <x:c r="F72" s="4"/>
      <x:c r="G72" s="4"/>
      <x:c r="H72" s="4"/>
      <x:c r="I72" s="4"/>
      <x:c r="J72" s="4"/>
      <x:c r="K72" s="4"/>
      <x:c r="L72" s="4"/>
    </x:row>
    <x:row r="73" ht="19" customHeight="1">
      <x:c r="A73" s="1"/>
      <x:c r="B73" s="1"/>
      <x:c r="C73" s="4"/>
      <x:c r="D73" s="4"/>
      <x:c r="E73" s="4"/>
      <x:c r="F73" s="4"/>
      <x:c r="G73" s="4"/>
      <x:c r="H73" s="4"/>
      <x:c r="I73" s="4"/>
      <x:c r="J73" s="4"/>
      <x:c r="K73" s="4"/>
      <x:c r="L73" s="4"/>
    </x:row>
    <x:row r="74" ht="19" customHeight="1">
      <x:c r="A74" s="1"/>
      <x:c r="B74" s="1"/>
      <x:c r="C74" s="4"/>
      <x:c r="D74" s="4"/>
      <x:c r="E74" s="4"/>
      <x:c r="F74" s="4"/>
      <x:c r="G74" s="4"/>
      <x:c r="H74" s="4"/>
      <x:c r="I74" s="4"/>
      <x:c r="J74" s="4"/>
      <x:c r="K74" s="4"/>
      <x:c r="L74" s="4"/>
    </x:row>
    <x:row r="75" ht="19" customHeight="1">
      <x:c r="A75" s="1"/>
      <x:c r="B75" s="1"/>
      <x:c r="C75" s="4"/>
      <x:c r="D75" s="4"/>
      <x:c r="E75" s="4"/>
      <x:c r="F75" s="4"/>
      <x:c r="G75" s="4"/>
      <x:c r="H75" s="4"/>
      <x:c r="I75" s="4"/>
      <x:c r="J75" s="4"/>
      <x:c r="K75" s="4"/>
      <x:c r="L75" s="4"/>
    </x:row>
    <x:row r="76" ht="19" customHeight="1">
      <x:c r="A76" s="1"/>
      <x:c r="B76" s="1"/>
      <x:c r="C76" s="4"/>
      <x:c r="D76" s="4"/>
      <x:c r="E76" s="4"/>
      <x:c r="F76" s="4"/>
      <x:c r="G76" s="4"/>
      <x:c r="H76" s="4"/>
      <x:c r="I76" s="4"/>
      <x:c r="J76" s="4"/>
      <x:c r="K76" s="4"/>
      <x:c r="L76" s="4"/>
    </x:row>
    <x:row r="77" ht="19" customHeight="1">
      <x:c r="A77" s="1"/>
      <x:c r="B77" s="1"/>
      <x:c r="C77" s="4"/>
      <x:c r="D77" s="4"/>
      <x:c r="E77" s="4"/>
      <x:c r="F77" s="4"/>
      <x:c r="G77" s="4"/>
      <x:c r="H77" s="4"/>
      <x:c r="I77" s="4"/>
      <x:c r="J77" s="4"/>
      <x:c r="K77" s="4"/>
      <x:c r="L77" s="4"/>
    </x:row>
    <x:row r="78" ht="19" customHeight="1">
      <x:c r="A78" s="1"/>
      <x:c r="B78" s="1"/>
      <x:c r="C78" s="4"/>
      <x:c r="D78" s="4"/>
      <x:c r="E78" s="4"/>
      <x:c r="F78" s="4"/>
      <x:c r="G78" s="4"/>
      <x:c r="H78" s="4"/>
      <x:c r="I78" s="4"/>
      <x:c r="J78" s="4"/>
      <x:c r="K78" s="4"/>
      <x:c r="L78" s="4"/>
    </x:row>
    <x:row r="79" ht="19" customHeight="1">
      <x:c r="A79" s="1"/>
      <x:c r="B79" s="1"/>
      <x:c r="C79" s="4"/>
      <x:c r="D79" s="4"/>
      <x:c r="E79" s="4"/>
      <x:c r="F79" s="4"/>
      <x:c r="G79" s="4"/>
      <x:c r="H79" s="4"/>
      <x:c r="I79" s="4"/>
      <x:c r="J79" s="4"/>
      <x:c r="K79" s="4"/>
      <x:c r="L79" s="4"/>
    </x:row>
    <x:row r="80" ht="19" customHeight="1">
      <x:c r="A80" s="1"/>
      <x:c r="B80" s="1"/>
      <x:c r="C80" s="4"/>
      <x:c r="D80" s="4"/>
      <x:c r="E80" s="4"/>
      <x:c r="F80" s="4"/>
      <x:c r="G80" s="4"/>
      <x:c r="H80" s="4"/>
      <x:c r="I80" s="4"/>
      <x:c r="J80" s="4"/>
      <x:c r="K80" s="4"/>
      <x:c r="L80" s="4"/>
    </x:row>
    <x:row r="81" ht="19" customHeight="1">
      <x:c r="A81" s="1"/>
      <x:c r="B81" s="1"/>
      <x:c r="C81" s="4"/>
      <x:c r="D81" s="4"/>
      <x:c r="E81" s="4"/>
      <x:c r="F81" s="4"/>
      <x:c r="G81" s="4"/>
      <x:c r="H81" s="4"/>
      <x:c r="I81" s="4"/>
      <x:c r="J81" s="4"/>
      <x:c r="K81" s="4"/>
      <x:c r="L81" s="4"/>
    </x:row>
    <x:row r="82" ht="19" customHeight="1">
      <x:c r="A82" s="1"/>
      <x:c r="B82" s="1"/>
      <x:c r="C82" s="4"/>
      <x:c r="D82" s="4"/>
      <x:c r="E82" s="4"/>
      <x:c r="F82" s="4"/>
      <x:c r="G82" s="4"/>
      <x:c r="H82" s="4"/>
      <x:c r="I82" s="4"/>
      <x:c r="J82" s="4"/>
      <x:c r="K82" s="4"/>
      <x:c r="L82" s="4"/>
    </x:row>
    <x:row r="83" ht="19" customHeight="1">
      <x:c r="A83" s="1"/>
      <x:c r="B83" s="1"/>
      <x:c r="C83" s="4"/>
      <x:c r="D83" s="4"/>
      <x:c r="E83" s="4"/>
      <x:c r="F83" s="4"/>
      <x:c r="G83" s="4"/>
      <x:c r="H83" s="4"/>
      <x:c r="I83" s="4"/>
      <x:c r="J83" s="4"/>
      <x:c r="K83" s="4"/>
      <x:c r="L83" s="4"/>
    </x:row>
    <x:row r="84" ht="19" customHeight="1">
      <x:c r="A84" s="1"/>
      <x:c r="B84" s="1"/>
      <x:c r="C84" s="4"/>
      <x:c r="D84" s="4"/>
      <x:c r="E84" s="4"/>
      <x:c r="F84" s="4"/>
      <x:c r="G84" s="4"/>
      <x:c r="H84" s="4"/>
      <x:c r="I84" s="4"/>
      <x:c r="J84" s="4"/>
      <x:c r="K84" s="4"/>
      <x:c r="L84" s="4"/>
    </x:row>
    <x:row r="85" ht="19" customHeight="1">
      <x:c r="A85" s="1"/>
      <x:c r="B85" s="1"/>
      <x:c r="C85" s="4"/>
      <x:c r="D85" s="4"/>
      <x:c r="E85" s="4"/>
      <x:c r="F85" s="4"/>
      <x:c r="G85" s="4"/>
      <x:c r="H85" s="4"/>
      <x:c r="I85" s="4"/>
      <x:c r="J85" s="4"/>
      <x:c r="K85" s="4"/>
      <x:c r="L85" s="4"/>
    </x:row>
    <x:row r="86" ht="19" customHeight="1">
      <x:c r="A86" s="1"/>
      <x:c r="B86" s="1"/>
      <x:c r="C86" s="4"/>
      <x:c r="D86" s="4"/>
      <x:c r="E86" s="4"/>
      <x:c r="F86" s="4"/>
      <x:c r="G86" s="4"/>
      <x:c r="H86" s="4"/>
      <x:c r="I86" s="4"/>
      <x:c r="J86" s="4"/>
      <x:c r="K86" s="4"/>
      <x:c r="L86" s="4"/>
    </x:row>
    <x:row r="87" ht="19" customHeight="1">
      <x:c r="A87" s="1"/>
      <x:c r="B87" s="1"/>
      <x:c r="C87" s="4"/>
      <x:c r="D87" s="4"/>
      <x:c r="E87" s="4"/>
      <x:c r="F87" s="4"/>
      <x:c r="G87" s="4"/>
      <x:c r="H87" s="4"/>
      <x:c r="I87" s="4"/>
      <x:c r="J87" s="4"/>
      <x:c r="K87" s="4"/>
      <x:c r="L87" s="4"/>
    </x:row>
    <x:row r="88" ht="19" customHeight="1">
      <x:c r="A88" s="1"/>
      <x:c r="B88" s="1"/>
      <x:c r="C88" s="4"/>
      <x:c r="D88" s="4"/>
      <x:c r="E88" s="4"/>
      <x:c r="F88" s="4"/>
      <x:c r="G88" s="4"/>
      <x:c r="H88" s="4"/>
      <x:c r="I88" s="4"/>
      <x:c r="J88" s="4"/>
      <x:c r="K88" s="4"/>
      <x:c r="L88" s="4"/>
    </x:row>
    <x:row r="89" ht="19" customHeight="1">
      <x:c r="A89" s="1"/>
      <x:c r="B89" s="1"/>
      <x:c r="C89" s="4"/>
      <x:c r="D89" s="4"/>
      <x:c r="E89" s="4"/>
      <x:c r="F89" s="4"/>
      <x:c r="G89" s="4"/>
      <x:c r="H89" s="4"/>
      <x:c r="I89" s="4"/>
      <x:c r="J89" s="4"/>
      <x:c r="K89" s="4"/>
      <x:c r="L89" s="4"/>
    </x:row>
    <x:row r="90" ht="19" customHeight="1">
      <x:c r="A90" s="1"/>
      <x:c r="B90" s="1"/>
      <x:c r="C90" s="4"/>
      <x:c r="D90" s="4"/>
      <x:c r="E90" s="4"/>
      <x:c r="F90" s="4"/>
      <x:c r="G90" s="4"/>
      <x:c r="H90" s="4"/>
      <x:c r="I90" s="4"/>
      <x:c r="J90" s="4"/>
      <x:c r="K90" s="4"/>
      <x:c r="L90" s="4"/>
    </x:row>
    <x:row r="91" ht="19" customHeight="1">
      <x:c r="A91" s="1"/>
      <x:c r="B91" s="1"/>
      <x:c r="C91" s="4"/>
      <x:c r="D91" s="4"/>
      <x:c r="E91" s="4"/>
      <x:c r="F91" s="4"/>
      <x:c r="G91" s="4"/>
      <x:c r="H91" s="4"/>
      <x:c r="I91" s="4"/>
      <x:c r="J91" s="4"/>
      <x:c r="K91" s="4"/>
      <x:c r="L91" s="4"/>
    </x:row>
    <x:row r="92" ht="19" customHeight="1">
      <x:c r="A92" s="1"/>
      <x:c r="B92" s="1"/>
      <x:c r="C92" s="4"/>
      <x:c r="D92" s="4"/>
      <x:c r="E92" s="4"/>
      <x:c r="F92" s="4"/>
      <x:c r="G92" s="4"/>
      <x:c r="H92" s="4"/>
      <x:c r="I92" s="4"/>
      <x:c r="J92" s="4"/>
      <x:c r="K92" s="4"/>
      <x:c r="L92" s="4"/>
    </x:row>
    <x:row r="93" ht="19" customHeight="1">
      <x:c r="A93" s="1"/>
      <x:c r="B93" s="1"/>
      <x:c r="C93" s="4"/>
      <x:c r="D93" s="4"/>
      <x:c r="E93" s="4"/>
      <x:c r="F93" s="4"/>
      <x:c r="G93" s="4"/>
      <x:c r="H93" s="4"/>
      <x:c r="I93" s="4"/>
      <x:c r="J93" s="4"/>
      <x:c r="K93" s="4"/>
      <x:c r="L93" s="4"/>
    </x:row>
    <x:row r="94" ht="19" customHeight="1">
      <x:c r="A94" s="1"/>
      <x:c r="B94" s="1"/>
      <x:c r="C94" s="4"/>
      <x:c r="D94" s="4"/>
      <x:c r="E94" s="4"/>
      <x:c r="F94" s="4"/>
      <x:c r="G94" s="4"/>
      <x:c r="H94" s="4"/>
      <x:c r="I94" s="4"/>
      <x:c r="J94" s="4"/>
      <x:c r="K94" s="4"/>
      <x:c r="L94" s="4"/>
    </x:row>
    <x:row r="95" ht="19" customHeight="1">
      <x:c r="A95" s="1"/>
      <x:c r="B95" s="1"/>
      <x:c r="C95" s="4"/>
      <x:c r="D95" s="4"/>
      <x:c r="E95" s="4"/>
      <x:c r="F95" s="4"/>
      <x:c r="G95" s="4"/>
      <x:c r="H95" s="4"/>
      <x:c r="I95" s="4"/>
      <x:c r="J95" s="4"/>
      <x:c r="K95" s="4"/>
      <x:c r="L95" s="4"/>
    </x:row>
    <x:row r="96" ht="19" customHeight="1">
      <x:c r="A96" s="1"/>
      <x:c r="B96" s="1"/>
      <x:c r="C96" s="4"/>
      <x:c r="D96" s="4"/>
      <x:c r="E96" s="4"/>
      <x:c r="F96" s="4"/>
      <x:c r="G96" s="4"/>
      <x:c r="H96" s="4"/>
      <x:c r="I96" s="4"/>
      <x:c r="J96" s="4"/>
      <x:c r="K96" s="4"/>
      <x:c r="L96" s="4"/>
    </x:row>
    <x:row r="97" ht="19" customHeight="1">
      <x:c r="A97" s="1"/>
      <x:c r="B97" s="1"/>
      <x:c r="C97" s="4"/>
      <x:c r="D97" s="4"/>
      <x:c r="E97" s="4"/>
      <x:c r="F97" s="4"/>
      <x:c r="G97" s="4"/>
      <x:c r="H97" s="4"/>
      <x:c r="I97" s="4"/>
      <x:c r="J97" s="4"/>
      <x:c r="K97" s="4"/>
      <x:c r="L97" s="4"/>
    </x:row>
    <x:row r="98" ht="19" customHeight="1">
      <x:c r="A98" s="1"/>
      <x:c r="B98" s="1"/>
      <x:c r="C98" s="4"/>
      <x:c r="D98" s="4"/>
      <x:c r="E98" s="4"/>
      <x:c r="F98" s="4"/>
      <x:c r="G98" s="4"/>
      <x:c r="H98" s="4"/>
      <x:c r="I98" s="4"/>
      <x:c r="J98" s="4"/>
      <x:c r="K98" s="4"/>
      <x:c r="L98" s="4"/>
    </x:row>
    <x:row r="99" ht="19" customHeight="1">
      <x:c r="A99" s="1"/>
      <x:c r="B99" s="1"/>
      <x:c r="C99" s="4"/>
      <x:c r="D99" s="4"/>
      <x:c r="E99" s="4"/>
      <x:c r="F99" s="4"/>
      <x:c r="G99" s="4"/>
      <x:c r="H99" s="4"/>
      <x:c r="I99" s="4"/>
      <x:c r="J99" s="4"/>
      <x:c r="K99" s="4"/>
      <x:c r="L99" s="4"/>
    </x:row>
    <x:row r="100" ht="19" customHeight="1">
      <x:c r="A100" s="1"/>
      <x:c r="B100" s="1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</x:row>
    <x:row r="101" ht="19" customHeight="1">
      <x:c r="A101" s="1"/>
      <x:c r="B101" s="1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</x:row>
    <x:row r="102" ht="19" customHeight="1">
      <x:c r="A102" s="1"/>
      <x:c r="B102" s="1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</x:row>
    <x:row r="103" ht="19" customHeight="1">
      <x:c r="A103" s="1"/>
      <x:c r="B103" s="1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</x:row>
    <x:row r="104" ht="19" customHeight="1">
      <x:c r="A104" s="1"/>
      <x:c r="B104" s="1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</x:row>
    <x:row r="105" ht="19" customHeight="1">
      <x:c r="A105" s="1"/>
      <x:c r="B105" s="1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</x:row>
    <x:row r="106" ht="19" customHeight="1">
      <x:c r="A106" s="1"/>
      <x:c r="B106" s="1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</x:row>
    <x:row r="107" ht="19" customHeight="1">
      <x:c r="A107" s="1"/>
      <x:c r="B107" s="1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</x:row>
    <x:row r="108" ht="19" customHeight="1">
      <x:c r="A108" s="1"/>
      <x:c r="B108" s="1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</x:row>
    <x:row r="109" ht="19" customHeight="1">
      <x:c r="A109" s="1"/>
      <x:c r="B109" s="1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</x:row>
    <x:row r="110" ht="19" customHeight="1">
      <x:c r="A110" s="1"/>
      <x:c r="B110" s="1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</x:row>
    <x:row r="111" ht="19" customHeight="1">
      <x:c r="A111" s="1"/>
      <x:c r="B111" s="1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</x:row>
    <x:row r="112" ht="19" customHeight="1">
      <x:c r="A112" s="1"/>
      <x:c r="B112" s="1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</x:row>
    <x:row r="113" ht="19" customHeight="1">
      <x:c r="A113" s="1"/>
      <x:c r="B113" s="1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</x:row>
    <x:row r="114" ht="19" customHeight="1">
      <x:c r="A114" s="1"/>
      <x:c r="B114" s="1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</x:row>
    <x:row r="115" ht="19" customHeight="1">
      <x:c r="A115" s="1"/>
      <x:c r="B115" s="1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</x:row>
    <x:row r="116" ht="19" customHeight="1">
      <x:c r="A116" s="1"/>
      <x:c r="B116" s="1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</x:row>
    <x:row r="117" ht="19" customHeight="1">
      <x:c r="A117" s="1"/>
      <x:c r="B117" s="1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</x:row>
    <x:row r="118" ht="19" customHeight="1">
      <x:c r="A118" s="1"/>
      <x:c r="B118" s="1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</x:row>
    <x:row r="119" ht="19" customHeight="1">
      <x:c r="A119" s="1"/>
      <x:c r="B119" s="1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</x:row>
    <x:row r="120" ht="19" customHeight="1">
      <x:c r="A120" s="1"/>
      <x:c r="B120" s="1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</x:row>
    <x:row r="121" ht="19" customHeight="1">
      <x:c r="A121" s="1"/>
      <x:c r="B121" s="1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</x:row>
    <x:row r="122" ht="19" customHeight="1">
      <x:c r="A122" s="1"/>
      <x:c r="B122" s="1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</x:row>
    <x:row r="123" ht="19" customHeight="1">
      <x:c r="A123" s="1"/>
      <x:c r="B123" s="1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</x:row>
    <x:row r="124" ht="19" customHeight="1">
      <x:c r="A124" s="1"/>
      <x:c r="B124" s="1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</x:row>
    <x:row r="125" ht="19" customHeight="1">
      <x:c r="A125" s="1"/>
      <x:c r="B125" s="1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</x:row>
  </x:sheetData>
  <x:mergeCells>
    <x:mergeCell ref="A40:L40"/>
  </x:mergeCells>
  <x:conditionalFormatting sqref="C35:L35">
    <x:cfRule type="expression" dxfId="2" priority="1">
      <x:formula>ABS(C35)&gt;0.03</x:formula>
    </x:cfRule>
    <x:cfRule type="expression" dxfId="10" priority="4">
      <x:formula>ABS(C35)&gt;0.03</x:formula>
    </x:cfRule>
  </x:conditionalFormatting>
  <x:conditionalFormatting sqref="C36:L36">
    <x:cfRule type="expression" dxfId="3" priority="2">
      <x:formula>ABS(C36)&gt;0.03</x:formula>
    </x:cfRule>
    <x:cfRule type="expression" dxfId="11" priority="5">
      <x:formula>ABS(C36)&gt;0.03</x:formula>
    </x:cfRule>
  </x:conditionalFormatting>
  <x:conditionalFormatting sqref="C37:L37">
    <x:cfRule type="expression" dxfId="4" priority="3">
      <x:formula>ABS(C37)&gt;0.03</x:formula>
    </x:cfRule>
    <x:cfRule type="expression" dxfId="12" priority="6">
      <x:formula>ABS(C37)&gt;0.03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2F343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6" hidden="0" customWidth="1"/>
    <x:col min="2" max="2" width="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8" customHeight="1">
      <x:c r="A1" s="88" t="str">
        <x:v>Cash Flow Statement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</x:row>
    <x:row r="2" ht="19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9" customHeight="1">
      <x:c r="A3" s="1" t="str">
        <x:v>Pricol Limited | Consolidated | INR crore, except per-share data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19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19" customHeight="1">
      <x:c r="A5" s="91" t="str">
        <x:v>Metric</x:v>
      </x:c>
      <x:c r="B5" s="91"/>
      <x:c r="C5" s="91" t="str">
        <x:v>FY2022A</x:v>
      </x:c>
      <x:c r="D5" s="91" t="str">
        <x:v>FY2023A</x:v>
      </x:c>
      <x:c r="E5" s="91" t="str">
        <x:v>FY2024A</x:v>
      </x:c>
      <x:c r="F5" s="91" t="str">
        <x:v>FY2025A</x:v>
      </x:c>
      <x:c r="G5" s="91" t="str">
        <x:v>FY2026A</x:v>
      </x:c>
      <x:c r="H5" s="91" t="str">
        <x:v>FY2027E</x:v>
      </x:c>
      <x:c r="I5" s="91" t="str">
        <x:v>FY2028E</x:v>
      </x:c>
      <x:c r="J5" s="91" t="str">
        <x:v>FY2029E</x:v>
      </x:c>
      <x:c r="K5" s="91" t="str">
        <x:v>FY2030E</x:v>
      </x:c>
      <x:c r="L5" s="91" t="str">
        <x:v>FY2031E</x:v>
      </x:c>
    </x:row>
    <x:row r="6" ht="19" customHeight="1">
      <x:c r="A6" s="1"/>
      <x:c r="B6" s="1"/>
      <x:c r="C6" s="4"/>
      <x:c r="D6" s="4"/>
      <x:c r="E6" s="4"/>
      <x:c r="F6" s="4"/>
      <x:c r="G6" s="4"/>
      <x:c r="H6" s="4"/>
      <x:c r="I6" s="4"/>
      <x:c r="J6" s="4"/>
      <x:c r="K6" s="4"/>
      <x:c r="L6" s="4"/>
    </x:row>
    <x:row r="7" ht="19" customHeight="1">
      <x:c r="A7" s="94" t="str">
        <x:v>Cash flow</x:v>
      </x:c>
      <x:c r="B7" s="94"/>
      <x:c r="C7" s="95"/>
      <x:c r="D7" s="95"/>
      <x:c r="E7" s="95"/>
      <x:c r="F7" s="95"/>
      <x:c r="G7" s="95"/>
      <x:c r="H7" s="95"/>
      <x:c r="I7" s="95"/>
      <x:c r="J7" s="95"/>
      <x:c r="K7" s="95"/>
      <x:c r="L7" s="95"/>
    </x:row>
    <x:row r="8" ht="19" customHeight="1">
      <x:c r="A8" s="1" t="str">
        <x:v>Cash from operating activities</x:v>
      </x:c>
      <x:c r="B8" s="1"/>
      <x:c r="C8" s="26" t="n">
        <x:f>'02_Raw_Financials'!C50</x:f>
        <x:v>182.646</x:v>
      </x:c>
      <x:c r="D8" s="26" t="n">
        <x:f>'02_Raw_Financials'!D50</x:f>
        <x:v>162.7934</x:v>
      </x:c>
      <x:c r="E8" s="26" t="n">
        <x:f>'02_Raw_Financials'!E50</x:f>
        <x:v>254.7773</x:v>
      </x:c>
      <x:c r="F8" s="26" t="n">
        <x:f>'02_Raw_Financials'!F50</x:f>
        <x:v>223.43</x:v>
      </x:c>
      <x:c r="G8" s="26" t="n">
        <x:f>'02_Raw_Financials'!G50</x:f>
        <x:v>281.26</x:v>
      </x:c>
      <x:c r="H8" s="26" t="n">
        <x:f>'07_Income_Statement'!H17+'07_Income_Statement'!H12+H29-H30-'06_Schedules'!H18</x:f>
        <x:v>348.67004950553815</x:v>
      </x:c>
      <x:c r="I8" s="26" t="n">
        <x:f>'07_Income_Statement'!I17+'07_Income_Statement'!I12+I29-I30-'06_Schedules'!I18</x:f>
        <x:v>399.86071763660766</x:v>
      </x:c>
      <x:c r="J8" s="26" t="n">
        <x:f>'07_Income_Statement'!J17+'07_Income_Statement'!J12+J29-J30-'06_Schedules'!J18</x:f>
        <x:v>453.8911618176106</x:v>
      </x:c>
      <x:c r="K8" s="26" t="n">
        <x:f>'07_Income_Statement'!K17+'07_Income_Statement'!K12+K29-K30-'06_Schedules'!K18</x:f>
        <x:v>505.2227569811921</x:v>
      </x:c>
      <x:c r="L8" s="26" t="n">
        <x:f>'07_Income_Statement'!L17+'07_Income_Statement'!L12+L29-L30-'06_Schedules'!L18</x:f>
        <x:v>547.1632000364187</x:v>
      </x:c>
    </x:row>
    <x:row r="9" ht="19" customHeight="1">
      <x:c r="A9" s="1" t="str">
        <x:v>Cash from investing activities</x:v>
      </x:c>
      <x:c r="B9" s="1"/>
      <x:c r="C9" s="26" t="n">
        <x:f>'02_Raw_Financials'!C51</x:f>
        <x:v>-44.673</x:v>
      </x:c>
      <x:c r="D9" s="26" t="n">
        <x:f>'02_Raw_Financials'!D51</x:f>
        <x:v>-65.5437</x:v>
      </x:c>
      <x:c r="E9" s="26" t="n">
        <x:f>'02_Raw_Financials'!E51</x:f>
        <x:v>-129.3255</x:v>
      </x:c>
      <x:c r="F9" s="26" t="n">
        <x:f>'02_Raw_Financials'!F51</x:f>
        <x:v>-376.99</x:v>
      </x:c>
      <x:c r="G9" s="26" t="n">
        <x:f>'02_Raw_Financials'!G51</x:f>
        <x:v>-297.92</x:v>
      </x:c>
      <x:c r="H9" s="26" t="n">
        <x:f>-'06_Schedules'!H23+H30</x:f>
        <x:v>-346.84875040622296</x:v>
      </x:c>
      <x:c r="I9" s="26" t="n">
        <x:f>-'06_Schedules'!I23+I30</x:f>
        <x:v>-346.5012737398444</x:v>
      </x:c>
      <x:c r="J9" s="26" t="n">
        <x:f>-'06_Schedules'!J23+J30</x:f>
        <x:v>-271.14174302076924</x:v>
      </x:c>
      <x:c r="K9" s="26" t="n">
        <x:f>-'06_Schedules'!K23+K30</x:f>
        <x:v>-280.7988543564239</x:v>
      </x:c>
      <x:c r="L9" s="26" t="n">
        <x:f>-'06_Schedules'!L23+L30</x:f>
        <x:v>-295.4760225523277</x:v>
      </x:c>
    </x:row>
    <x:row r="10" ht="19" customHeight="1">
      <x:c r="A10" s="1" t="str">
        <x:v>Cash from financing activities</x:v>
      </x:c>
      <x:c r="B10" s="1"/>
      <x:c r="C10" s="26" t="n">
        <x:f>'02_Raw_Financials'!C52</x:f>
        <x:v>-153.5923</x:v>
      </x:c>
      <x:c r="D10" s="26" t="n">
        <x:f>'02_Raw_Financials'!D52</x:f>
        <x:v>-63.8388</x:v>
      </x:c>
      <x:c r="E10" s="26" t="n">
        <x:f>'02_Raw_Financials'!E52</x:f>
        <x:v>-68.9063</x:v>
      </x:c>
      <x:c r="F10" s="26" t="n">
        <x:f>'02_Raw_Financials'!F52</x:f>
        <x:v>142.1</x:v>
      </x:c>
      <x:c r="G10" s="26" t="n">
        <x:f>'02_Raw_Financials'!G52</x:f>
        <x:v>33.48</x:v>
      </x:c>
      <x:c r="H10" s="26" t="n">
        <x:f>'06_Schedules'!H58-'06_Schedules'!H51-'06_Schedules'!H59-'06_Schedules'!H43-'06_Schedules'!H53-H29</x:f>
        <x:v>-31.865979099315194</x:v>
      </x:c>
      <x:c r="I10" s="26" t="n">
        <x:f>'06_Schedules'!I58-'06_Schedules'!I51-'06_Schedules'!I59-'06_Schedules'!I43-'06_Schedules'!I53-I29</x:f>
        <x:v>-43.67196189676322</x:v>
      </x:c>
      <x:c r="J10" s="26" t="n">
        <x:f>'06_Schedules'!J58-'06_Schedules'!J51-'06_Schedules'!J59-'06_Schedules'!J43-'06_Schedules'!J53-J29</x:f>
        <x:v>-172.7258756168414</x:v>
      </x:c>
      <x:c r="K10" s="26" t="n">
        <x:f>'06_Schedules'!K58-'06_Schedules'!K51-'06_Schedules'!K59-'06_Schedules'!K43-'06_Schedules'!K53-K29</x:f>
        <x:v>-214.86433191036824</x:v>
      </x:c>
      <x:c r="L10" s="26" t="n">
        <x:f>'06_Schedules'!L58-'06_Schedules'!L51-'06_Schedules'!L59-'06_Schedules'!L43-'06_Schedules'!L53-L29</x:f>
        <x:v>-242.68678236748303</x:v>
      </x:c>
    </x:row>
    <x:row r="11" ht="19" customHeight="1">
      <x:c r="A11" s="1" t="str">
        <x:v>Separately reported FX effect on cash</x:v>
      </x:c>
      <x:c r="B11" s="1"/>
      <x:c r="C11" s="26" t="n">
        <x:f>'02_Raw_Financials'!C53</x:f>
        <x:v>0</x:v>
      </x:c>
      <x:c r="D11" s="26" t="n">
        <x:f>'02_Raw_Financials'!D53</x:f>
        <x:v>0</x:v>
      </x:c>
      <x:c r="E11" s="26" t="n">
        <x:f>'02_Raw_Financials'!E53</x:f>
        <x:v>0</x:v>
      </x:c>
      <x:c r="F11" s="26" t="n">
        <x:f>'02_Raw_Financials'!F53</x:f>
        <x:v>0</x:v>
      </x:c>
      <x:c r="G11" s="26" t="n">
        <x:f>'02_Raw_Financials'!G53</x:f>
        <x:v>0</x:v>
      </x:c>
      <x:c r="H11" s="4" t="n">
        <x:f>0</x:f>
        <x:v>0</x:v>
      </x:c>
      <x:c r="I11" s="4" t="n">
        <x:f>0</x:f>
        <x:v>0</x:v>
      </x:c>
      <x:c r="J11" s="4" t="n">
        <x:f>0</x:f>
        <x:v>0</x:v>
      </x:c>
      <x:c r="K11" s="4" t="n">
        <x:f>0</x:f>
        <x:v>0</x:v>
      </x:c>
      <x:c r="L11" s="4" t="n">
        <x:f>0</x:f>
        <x:v>0</x:v>
      </x:c>
    </x:row>
    <x:row r="12" ht="19" customHeight="1">
      <x:c r="A12" s="1" t="str">
        <x:v>Opening cash and cash equivalents</x:v>
      </x:c>
      <x:c r="B12" s="1"/>
      <x:c r="C12" s="26" t="n">
        <x:f>'02_Raw_Financials'!C54</x:f>
        <x:v>38.2052</x:v>
      </x:c>
      <x:c r="D12" s="26" t="n">
        <x:f>'02_Raw_Financials'!D54</x:f>
        <x:v>22.5859</x:v>
      </x:c>
      <x:c r="E12" s="26" t="n">
        <x:f>'02_Raw_Financials'!E54</x:f>
        <x:v>55.9968</x:v>
      </x:c>
      <x:c r="F12" s="26" t="n">
        <x:f>'02_Raw_Financials'!F54</x:f>
        <x:v>112.54</x:v>
      </x:c>
      <x:c r="G12" s="26" t="n">
        <x:f>'02_Raw_Financials'!G54</x:f>
        <x:v>101.08</x:v>
      </x:c>
      <x:c r="H12" s="4" t="n">
        <x:f>G13</x:f>
        <x:v>117.9</x:v>
      </x:c>
      <x:c r="I12" s="4" t="n">
        <x:f>H13</x:f>
        <x:v>87.85531999999999</x:v>
      </x:c>
      <x:c r="J12" s="4" t="n">
        <x:f>I13</x:f>
        <x:v>97.54280200000002</x:v>
      </x:c>
      <x:c r="K12" s="4" t="n">
        <x:f>J13</x:f>
        <x:v>107.56634518000001</x:v>
      </x:c>
      <x:c r="L12" s="4" t="n">
        <x:f>K13</x:f>
        <x:v>117.12591589440001</x:v>
      </x:c>
    </x:row>
    <x:row r="13" ht="19" customHeight="1">
      <x:c r="A13" s="74" t="str">
        <x:v>Closing cash and cash equivalents</x:v>
      </x:c>
      <x:c r="B13" s="74"/>
      <x:c r="C13" s="80" t="n">
        <x:f>'02_Raw_Financials'!C55</x:f>
        <x:v>22.5859</x:v>
      </x:c>
      <x:c r="D13" s="80" t="n">
        <x:f>'02_Raw_Financials'!D55</x:f>
        <x:v>55.9968</x:v>
      </x:c>
      <x:c r="E13" s="80" t="n">
        <x:f>'02_Raw_Financials'!E55</x:f>
        <x:v>112.5423</x:v>
      </x:c>
      <x:c r="F13" s="80" t="n">
        <x:f>'02_Raw_Financials'!F55</x:f>
        <x:v>101.08</x:v>
      </x:c>
      <x:c r="G13" s="80" t="n">
        <x:f>'02_Raw_Financials'!G55</x:f>
        <x:v>117.9</x:v>
      </x:c>
      <x:c r="H13" s="78" t="n">
        <x:f>SUM(H8:H12)</x:f>
        <x:v>87.85531999999999</x:v>
      </x:c>
      <x:c r="I13" s="78" t="n">
        <x:f>SUM(I8:I12)</x:f>
        <x:v>97.54280200000002</x:v>
      </x:c>
      <x:c r="J13" s="78" t="n">
        <x:f>SUM(J8:J12)</x:f>
        <x:v>107.56634518000001</x:v>
      </x:c>
      <x:c r="K13" s="78" t="n">
        <x:f>SUM(K8:K12)</x:f>
        <x:v>117.12591589440001</x:v>
      </x:c>
      <x:c r="L13" s="78" t="n">
        <x:f>SUM(L8:L12)</x:f>
        <x:v>126.126311011008</x:v>
      </x:c>
    </x:row>
    <x:row r="14" ht="19" customHeight="1">
      <x:c r="A14" s="1"/>
      <x:c r="B14" s="1"/>
      <x:c r="C14" s="4"/>
      <x:c r="D14" s="4"/>
      <x:c r="E14" s="4"/>
      <x:c r="F14" s="4"/>
      <x:c r="G14" s="4"/>
      <x:c r="H14" s="4"/>
      <x:c r="I14" s="4"/>
      <x:c r="J14" s="4"/>
      <x:c r="K14" s="4"/>
      <x:c r="L14" s="4"/>
    </x:row>
    <x:row r="15" ht="19" customHeight="1">
      <x:c r="A15" s="1"/>
      <x:c r="B15" s="1"/>
      <x:c r="C15" s="4"/>
      <x:c r="D15" s="4"/>
      <x:c r="E15" s="4"/>
      <x:c r="F15" s="4"/>
      <x:c r="G15" s="4"/>
      <x:c r="H15" s="4"/>
      <x:c r="I15" s="4"/>
      <x:c r="J15" s="4"/>
      <x:c r="K15" s="4"/>
      <x:c r="L15" s="4"/>
    </x:row>
    <x:row r="16" ht="19" customHeight="1">
      <x:c r="A16" s="1" t="str">
        <x:v>Cash roll-forward difference</x:v>
      </x:c>
      <x:c r="B16" s="1"/>
      <x:c r="C16" s="86" t="n">
        <x:f>ROUND(SUM(C8:C12)-C13,8)</x:f>
        <x:v>0</x:v>
      </x:c>
      <x:c r="D16" s="86" t="n">
        <x:f>ROUND(SUM(D8:D12)-D13,8)</x:f>
        <x:v>0</x:v>
      </x:c>
      <x:c r="E16" s="86" t="n">
        <x:f>ROUND(SUM(E8:E12)-E13,8)</x:f>
        <x:v>0</x:v>
      </x:c>
      <x:c r="F16" s="86" t="n">
        <x:f>ROUND(SUM(F8:F12)-F13,8)</x:f>
        <x:v>0</x:v>
      </x:c>
      <x:c r="G16" s="86" t="n">
        <x:f>ROUND(SUM(G8:G12)-G13,8)</x:f>
        <x:v>0</x:v>
      </x:c>
      <x:c r="H16" s="86" t="n">
        <x:f>ROUND(SUM(H8:H12)-H13,8)</x:f>
        <x:v>0</x:v>
      </x:c>
      <x:c r="I16" s="86" t="n">
        <x:f>ROUND(SUM(I8:I12)-I13,8)</x:f>
        <x:v>0</x:v>
      </x:c>
      <x:c r="J16" s="86" t="n">
        <x:f>ROUND(SUM(J8:J12)-J13,8)</x:f>
        <x:v>0</x:v>
      </x:c>
      <x:c r="K16" s="86" t="n">
        <x:f>ROUND(SUM(K8:K12)-K13,8)</x:f>
        <x:v>0</x:v>
      </x:c>
      <x:c r="L16" s="86" t="n">
        <x:f>ROUND(SUM(L8:L12)-L13,8)</x:f>
        <x:v>0</x:v>
      </x:c>
    </x:row>
    <x:row r="17" ht="19" customHeight="1">
      <x:c r="A17" s="1" t="str">
        <x:v>Cash vs balance sheet</x:v>
      </x:c>
      <x:c r="B17" s="1"/>
      <x:c r="C17" s="86" t="n">
        <x:f>ROUND(C13-'08_Balance_Sheet'!C15,8)</x:f>
        <x:v>0</x:v>
      </x:c>
      <x:c r="D17" s="86" t="n">
        <x:f>ROUND(D13-'08_Balance_Sheet'!D15,8)</x:f>
        <x:v>0</x:v>
      </x:c>
      <x:c r="E17" s="86" t="n">
        <x:f>ROUND(E13-'08_Balance_Sheet'!E15,8)</x:f>
        <x:v>0</x:v>
      </x:c>
      <x:c r="F17" s="86" t="n">
        <x:f>ROUND(F13-'08_Balance_Sheet'!F15,8)</x:f>
        <x:v>0</x:v>
      </x:c>
      <x:c r="G17" s="86" t="n">
        <x:f>ROUND(G13-'08_Balance_Sheet'!G15,8)</x:f>
        <x:v>0</x:v>
      </x:c>
      <x:c r="H17" s="86" t="n">
        <x:f>ROUND(H13-'08_Balance_Sheet'!H15,8)</x:f>
        <x:v>0</x:v>
      </x:c>
      <x:c r="I17" s="86" t="n">
        <x:f>ROUND(I13-'08_Balance_Sheet'!I15,8)</x:f>
        <x:v>0</x:v>
      </x:c>
      <x:c r="J17" s="86" t="n">
        <x:f>ROUND(J13-'08_Balance_Sheet'!J15,8)</x:f>
        <x:v>0</x:v>
      </x:c>
      <x:c r="K17" s="86" t="n">
        <x:f>ROUND(K13-'08_Balance_Sheet'!K15,8)</x:f>
        <x:v>0</x:v>
      </x:c>
      <x:c r="L17" s="86" t="n">
        <x:f>ROUND(L13-'08_Balance_Sheet'!L15,8)</x:f>
        <x:v>0</x:v>
      </x:c>
    </x:row>
    <x:row r="18" ht="19" customHeight="1">
      <x:c r="A18" s="1"/>
      <x:c r="B18" s="1"/>
      <x:c r="C18" s="4"/>
      <x:c r="D18" s="4"/>
      <x:c r="E18" s="4"/>
      <x:c r="F18" s="4"/>
      <x:c r="G18" s="4"/>
      <x:c r="H18" s="4"/>
      <x:c r="I18" s="4"/>
      <x:c r="J18" s="4"/>
      <x:c r="K18" s="4"/>
      <x:c r="L18" s="4"/>
    </x:row>
    <x:row r="19" ht="19" customHeight="1">
      <x:c r="A19" s="1"/>
      <x:c r="B19" s="1"/>
      <x:c r="C19" s="4"/>
      <x:c r="D19" s="4"/>
      <x:c r="E19" s="4"/>
      <x:c r="F19" s="4"/>
      <x:c r="G19" s="4"/>
      <x:c r="H19" s="4"/>
      <x:c r="I19" s="4"/>
      <x:c r="J19" s="4"/>
      <x:c r="K19" s="4"/>
      <x:c r="L19" s="4"/>
    </x:row>
    <x:row r="20" ht="19" customHeight="1">
      <x:c r="A20" s="94" t="str">
        <x:v>Forecast cash-flow detail</x:v>
      </x:c>
      <x:c r="B20" s="94"/>
      <x:c r="C20" s="95"/>
      <x:c r="D20" s="95"/>
      <x:c r="E20" s="95"/>
      <x:c r="F20" s="95"/>
      <x:c r="G20" s="95"/>
      <x:c r="H20" s="95"/>
      <x:c r="I20" s="95"/>
      <x:c r="J20" s="95"/>
      <x:c r="K20" s="95"/>
      <x:c r="L20" s="95"/>
    </x:row>
    <x:row r="21" ht="19" customHeight="1">
      <x:c r="A21" s="1" t="str">
        <x:v>Profit after tax</x:v>
      </x:c>
      <x:c r="B21" s="1"/>
      <x:c r="C21" s="4"/>
      <x:c r="D21" s="4"/>
      <x:c r="E21" s="4"/>
      <x:c r="F21" s="4"/>
      <x:c r="G21" s="4"/>
      <x:c r="H21" s="26" t="n">
        <x:f>'07_Income_Statement'!H17</x:f>
        <x:v>265.7684422500001</x:v>
      </x:c>
      <x:c r="I21" s="26" t="n">
        <x:f>'07_Income_Statement'!I17</x:f>
        <x:v>298.1122332857377</x:v>
      </x:c>
      <x:c r="J21" s="26" t="n">
        <x:f>'07_Income_Statement'!J17</x:f>
        <x:v>336.557471971935</x:v>
      </x:c>
      <x:c r="K21" s="26" t="n">
        <x:f>'07_Income_Statement'!K17</x:f>
        <x:v>380.56391457593395</x:v>
      </x:c>
      <x:c r="L21" s="26" t="n">
        <x:f>'07_Income_Statement'!L17</x:f>
        <x:v>428.63553584694756</x:v>
      </x:c>
    </x:row>
    <x:row r="22" ht="19" customHeight="1">
      <x:c r="A22" s="1" t="str">
        <x:v>Depreciation and amortisation</x:v>
      </x:c>
      <x:c r="B22" s="1"/>
      <x:c r="C22" s="4"/>
      <x:c r="D22" s="4"/>
      <x:c r="E22" s="4"/>
      <x:c r="F22" s="4"/>
      <x:c r="G22" s="4"/>
      <x:c r="H22" s="26" t="n">
        <x:f>'07_Income_Statement'!H12</x:f>
        <x:v>121.18394999999998</x:v>
      </x:c>
      <x:c r="I22" s="26" t="n">
        <x:f>'07_Income_Statement'!I12</x:f>
        <x:v>140.8480395</x:v>
      </x:c>
      <x:c r="J22" s="26" t="n">
        <x:f>'07_Income_Statement'!J12</x:f>
        <x:v>156.803534445</x:v>
      </x:c>
      <x:c r="K22" s="26" t="n">
        <x:f>'07_Income_Statement'!K12</x:f>
        <x:v>169.11019239495</x:v>
      </x:c>
      <x:c r="L22" s="26" t="n">
        <x:f>'07_Income_Statement'!L12</x:f>
        <x:v>171.13758654440448</x:v>
      </x:c>
    </x:row>
    <x:row r="23" ht="19" customHeight="1">
      <x:c r="A23" s="1" t="str">
        <x:v>Change in operating working capital</x:v>
      </x:c>
      <x:c r="B23" s="1"/>
      <x:c r="C23" s="4"/>
      <x:c r="D23" s="4"/>
      <x:c r="E23" s="4"/>
      <x:c r="F23" s="4"/>
      <x:c r="G23" s="4"/>
      <x:c r="H23" s="26" t="n">
        <x:f>'06_Schedules'!H18</x:f>
        <x:v>66.9536931506849</x:v>
      </x:c>
      <x:c r="I23" s="26" t="n">
        <x:f>'06_Schedules'!I18</x:f>
        <x:v>70.33377342465769</x:v>
      </x:c>
      <x:c r="J23" s="26" t="n">
        <x:f>'06_Schedules'!J18</x:f>
        <x:v>72.77366966301372</x:v>
      </x:c>
      <x:c r="K23" s="26" t="n">
        <x:f>'06_Schedules'!K18</x:f>
        <x:v>69.40510244701397</x:v>
      </x:c>
      <x:c r="L23" s="26" t="n">
        <x:f>'06_Schedules'!L18</x:f>
        <x:v>65.34533440824976</x:v>
      </x:c>
    </x:row>
    <x:row r="24" ht="19" customHeight="1">
      <x:c r="A24" s="1" t="str">
        <x:v>Cash capex</x:v>
      </x:c>
      <x:c r="B24" s="1"/>
      <x:c r="C24" s="4"/>
      <x:c r="D24" s="4"/>
      <x:c r="E24" s="4"/>
      <x:c r="F24" s="4"/>
      <x:c r="G24" s="4"/>
      <x:c r="H24" s="26" t="n">
        <x:f>'06_Schedules'!H23</x:f>
        <x:v>350</x:v>
      </x:c>
      <x:c r="I24" s="26" t="n">
        <x:f>'06_Schedules'!I23</x:f>
        <x:v>350</x:v>
      </x:c>
      <x:c r="J24" s="26" t="n">
        <x:f>'06_Schedules'!J23</x:f>
        <x:v>275</x:v>
      </x:c>
      <x:c r="K24" s="26" t="n">
        <x:f>'06_Schedules'!K23</x:f>
        <x:v>285</x:v>
      </x:c>
      <x:c r="L24" s="26" t="n">
        <x:f>'06_Schedules'!L23</x:f>
        <x:v>300</x:v>
      </x:c>
    </x:row>
    <x:row r="25" ht="19" customHeight="1">
      <x:c r="A25" s="1" t="str">
        <x:v>New borrowings</x:v>
      </x:c>
      <x:c r="B25" s="1"/>
      <x:c r="C25" s="4"/>
      <x:c r="D25" s="4"/>
      <x:c r="E25" s="4"/>
      <x:c r="F25" s="4"/>
      <x:c r="G25" s="4"/>
      <x:c r="H25" s="26" t="n">
        <x:f>'06_Schedules'!H58</x:f>
        <x:v>53.53346512568481</x:v>
      </x:c>
      <x:c r="I25" s="26" t="n">
        <x:f>'06_Schedules'!I58</x:f>
        <x:v>47.87220596749376</x:v>
      </x:c>
      <x:c r="J25" s="26" t="n">
        <x:f>'06_Schedules'!J58</x:f>
        <x:v>0</x:v>
      </x:c>
      <x:c r="K25" s="26" t="n">
        <x:f>'06_Schedules'!K58</x:f>
        <x:v>0</x:v>
      </x:c>
      <x:c r="L25" s="26" t="n">
        <x:f>'06_Schedules'!L58</x:f>
        <x:v>0</x:v>
      </x:c>
    </x:row>
    <x:row r="26" ht="19" customHeight="1">
      <x:c r="A26" s="1" t="str">
        <x:v>Scheduled and surplus debt repayments</x:v>
      </x:c>
      <x:c r="B26" s="1"/>
      <x:c r="C26" s="4"/>
      <x:c r="D26" s="4"/>
      <x:c r="E26" s="4"/>
      <x:c r="F26" s="4"/>
      <x:c r="G26" s="4"/>
      <x:c r="H26" s="26" t="n">
        <x:f>'06_Schedules'!H51+'06_Schedules'!H59</x:f>
        <x:v>20</x:v>
      </x:c>
      <x:c r="I26" s="26" t="n">
        <x:f>'06_Schedules'!I51+'06_Schedules'!I59</x:f>
        <x:v>20</x:v>
      </x:c>
      <x:c r="J26" s="26" t="n">
        <x:f>'06_Schedules'!J51+'06_Schedules'!J59</x:f>
        <x:v>94.90804637672774</x:v>
      </x:c>
      <x:c r="K26" s="26" t="n">
        <x:f>'06_Schedules'!K51+'06_Schedules'!K59</x:f>
        <x:v>140.6530423518765</x:v>
      </x:c>
      <x:c r="L26" s="26" t="n">
        <x:f>'06_Schedules'!L51+'06_Schedules'!L59</x:f>
        <x:v>175.56383928179946</x:v>
      </x:c>
    </x:row>
    <x:row r="27" ht="19" customHeight="1">
      <x:c r="A27" s="1" t="str">
        <x:v>Lease principal repayments</x:v>
      </x:c>
      <x:c r="B27" s="1"/>
      <x:c r="C27" s="4"/>
      <x:c r="D27" s="4"/>
      <x:c r="E27" s="4"/>
      <x:c r="F27" s="4"/>
      <x:c r="G27" s="4"/>
      <x:c r="H27" s="26" t="n">
        <x:f>'06_Schedules'!H43</x:f>
        <x:v>7</x:v>
      </x:c>
      <x:c r="I27" s="26" t="n">
        <x:f>'06_Schedules'!I43</x:f>
        <x:v>7</x:v>
      </x:c>
      <x:c r="J27" s="26" t="n">
        <x:f>'06_Schedules'!J43</x:f>
        <x:v>7</x:v>
      </x:c>
      <x:c r="K27" s="26" t="n">
        <x:f>'06_Schedules'!K43</x:f>
        <x:v>7</x:v>
      </x:c>
      <x:c r="L27" s="26" t="n">
        <x:f>'06_Schedules'!L43</x:f>
        <x:v>7</x:v>
      </x:c>
    </x:row>
    <x:row r="28" ht="19" customHeight="1">
      <x:c r="A28" s="1" t="str">
        <x:v>Cash dividends</x:v>
      </x:c>
      <x:c r="B28" s="1"/>
      <x:c r="C28" s="4"/>
      <x:c r="D28" s="4"/>
      <x:c r="E28" s="4"/>
      <x:c r="F28" s="4"/>
      <x:c r="G28" s="4"/>
      <x:c r="H28" s="26" t="n">
        <x:f>'06_Schedules'!H53</x:f>
        <x:v>26.57684422500001</x:v>
      </x:c>
      <x:c r="I28" s="26" t="n">
        <x:f>'06_Schedules'!I53</x:f>
        <x:v>29.811223328573774</x:v>
      </x:c>
      <x:c r="J28" s="26" t="n">
        <x:f>'06_Schedules'!J53</x:f>
        <x:v>33.6557471971935</x:v>
      </x:c>
      <x:c r="K28" s="26" t="n">
        <x:f>'06_Schedules'!K53</x:f>
        <x:v>38.0563914575934</x:v>
      </x:c>
      <x:c r="L28" s="26" t="n">
        <x:f>'06_Schedules'!L53</x:f>
        <x:v>42.863553584694756</x:v>
      </x:c>
    </x:row>
    <x:row r="29" ht="19" customHeight="1">
      <x:c r="A29" s="1" t="str">
        <x:v>Interest and finance costs paid</x:v>
      </x:c>
      <x:c r="B29" s="1"/>
      <x:c r="C29" s="4"/>
      <x:c r="D29" s="4"/>
      <x:c r="E29" s="4"/>
      <x:c r="F29" s="4"/>
      <x:c r="G29" s="4"/>
      <x:c r="H29" s="26" t="n">
        <x:f>'07_Income_Statement'!H13</x:f>
        <x:v>31.822599999999998</x:v>
      </x:c>
      <x:c r="I29" s="26" t="n">
        <x:f>'07_Income_Statement'!I13</x:f>
        <x:v>34.73294453568321</x:v>
      </x:c>
      <x:c r="J29" s="26" t="n">
        <x:f>'07_Income_Statement'!J13</x:f>
        <x:v>37.162082042920176</x:v>
      </x:c>
      <x:c r="K29" s="26" t="n">
        <x:f>'07_Income_Statement'!K13</x:f>
        <x:v>29.15489810089832</x:v>
      </x:c>
      <x:c r="L29" s="26" t="n">
        <x:f>'07_Income_Statement'!L13</x:f>
        <x:v>17.259389500988817</x:v>
      </x:c>
    </x:row>
    <x:row r="30" ht="19" customHeight="1">
      <x:c r="A30" s="1" t="str">
        <x:v>Interest income received</x:v>
      </x:c>
      <x:c r="B30" s="1"/>
      <x:c r="C30" s="4"/>
      <x:c r="D30" s="4"/>
      <x:c r="E30" s="4"/>
      <x:c r="F30" s="4"/>
      <x:c r="G30" s="4"/>
      <x:c r="H30" s="26" t="n">
        <x:f>'07_Income_Statement'!H9*'05_Assumptions'!H31</x:f>
        <x:v>3.1512495937770097</x:v>
      </x:c>
      <x:c r="I30" s="26" t="n">
        <x:f>'07_Income_Statement'!I9*'05_Assumptions'!I31</x:f>
        <x:v>3.4987262601555758</x:v>
      </x:c>
      <x:c r="J30" s="26" t="n">
        <x:f>'07_Income_Statement'!J9*'05_Assumptions'!J31</x:f>
        <x:v>3.85825697923077</x:v>
      </x:c>
      <x:c r="K30" s="26" t="n">
        <x:f>'07_Income_Statement'!K9*'05_Assumptions'!K31</x:f>
        <x:v>4.2011456435761465</x:v>
      </x:c>
      <x:c r="L30" s="26" t="n">
        <x:f>'07_Income_Statement'!L9*'05_Assumptions'!L31</x:f>
        <x:v>4.523977447672285</x:v>
      </x:c>
    </x:row>
    <x:row r="31" ht="19" customHeight="1">
      <x:c r="A31" s="1"/>
      <x:c r="B31" s="1"/>
      <x:c r="C31" s="4"/>
      <x:c r="D31" s="4"/>
      <x:c r="E31" s="4"/>
      <x:c r="F31" s="4"/>
      <x:c r="G31" s="4"/>
      <x:c r="H31" s="4"/>
      <x:c r="I31" s="4"/>
      <x:c r="J31" s="4"/>
      <x:c r="K31" s="4"/>
      <x:c r="L31" s="4"/>
    </x:row>
    <x:row r="32" ht="19" customHeight="1">
      <x:c r="A32" s="1"/>
      <x:c r="B32" s="1"/>
      <x:c r="C32" s="4"/>
      <x:c r="D32" s="4"/>
      <x:c r="E32" s="4"/>
      <x:c r="F32" s="4"/>
      <x:c r="G32" s="4"/>
      <x:c r="H32" s="4"/>
      <x:c r="I32" s="4"/>
      <x:c r="J32" s="4"/>
      <x:c r="K32" s="4"/>
      <x:c r="L32" s="4"/>
    </x:row>
    <x:row r="33" ht="32" customHeight="1">
      <x:c r="A33" s="62" t="str">
        <x:v>Forecast finance costs are paid in financing cash flow. Interest income is received in investing cash flow. Other income is assumed cash; no accrual change.</x:v>
      </x:c>
      <x:c r="B33" s="62"/>
      <x:c r="C33" s="63"/>
      <x:c r="D33" s="63"/>
      <x:c r="E33" s="63"/>
      <x:c r="F33" s="63"/>
      <x:c r="G33" s="63"/>
      <x:c r="H33" s="63"/>
      <x:c r="I33" s="63"/>
      <x:c r="J33" s="63"/>
      <x:c r="K33" s="63"/>
      <x:c r="L33" s="63"/>
    </x:row>
    <x:row r="34" ht="19" customHeight="1">
      <x:c r="A34" s="1"/>
      <x:c r="B34" s="1"/>
      <x:c r="C34" s="4"/>
      <x:c r="D34" s="4"/>
      <x:c r="E34" s="4"/>
      <x:c r="F34" s="4"/>
      <x:c r="G34" s="4"/>
      <x:c r="H34" s="4"/>
      <x:c r="I34" s="4"/>
      <x:c r="J34" s="4"/>
      <x:c r="K34" s="4"/>
      <x:c r="L34" s="4"/>
    </x:row>
    <x:row r="35" ht="19" customHeight="1">
      <x:c r="A35" s="1"/>
      <x:c r="B35" s="1"/>
      <x:c r="C35" s="4"/>
      <x:c r="D35" s="4"/>
      <x:c r="E35" s="4"/>
      <x:c r="F35" s="4"/>
      <x:c r="G35" s="4"/>
      <x:c r="H35" s="4"/>
      <x:c r="I35" s="4"/>
      <x:c r="J35" s="4"/>
      <x:c r="K35" s="4"/>
      <x:c r="L35" s="4"/>
    </x:row>
    <x:row r="36" ht="19" customHeight="1">
      <x:c r="A36" s="1"/>
      <x:c r="B36" s="1"/>
      <x:c r="C36" s="4"/>
      <x:c r="D36" s="4"/>
      <x:c r="E36" s="4"/>
      <x:c r="F36" s="4"/>
      <x:c r="G36" s="4"/>
      <x:c r="H36" s="4"/>
      <x:c r="I36" s="4"/>
      <x:c r="J36" s="4"/>
      <x:c r="K36" s="4"/>
      <x:c r="L36" s="4"/>
    </x:row>
    <x:row r="37" ht="19" customHeight="1">
      <x:c r="A37" s="1"/>
      <x:c r="B37" s="1"/>
      <x:c r="C37" s="4"/>
      <x:c r="D37" s="4"/>
      <x:c r="E37" s="4"/>
      <x:c r="F37" s="4"/>
      <x:c r="G37" s="4"/>
      <x:c r="H37" s="4"/>
      <x:c r="I37" s="4"/>
      <x:c r="J37" s="4"/>
      <x:c r="K37" s="4"/>
      <x:c r="L37" s="4"/>
    </x:row>
    <x:row r="38" ht="19" customHeight="1">
      <x:c r="A38" s="1"/>
      <x:c r="B38" s="1"/>
      <x:c r="C38" s="4"/>
      <x:c r="D38" s="4"/>
      <x:c r="E38" s="4"/>
      <x:c r="F38" s="4"/>
      <x:c r="G38" s="4"/>
      <x:c r="H38" s="4"/>
      <x:c r="I38" s="4"/>
      <x:c r="J38" s="4"/>
      <x:c r="K38" s="4"/>
      <x:c r="L38" s="4"/>
    </x:row>
    <x:row r="39" ht="19" customHeight="1">
      <x:c r="A39" s="1"/>
      <x:c r="B39" s="1"/>
      <x:c r="C39" s="4"/>
      <x:c r="D39" s="4"/>
      <x:c r="E39" s="4"/>
      <x:c r="F39" s="4"/>
      <x:c r="G39" s="4"/>
      <x:c r="H39" s="4"/>
      <x:c r="I39" s="4"/>
      <x:c r="J39" s="4"/>
      <x:c r="K39" s="4"/>
      <x:c r="L39" s="4"/>
    </x:row>
    <x:row r="40" ht="19" customHeight="1">
      <x:c r="A40" s="1"/>
      <x:c r="B40" s="1"/>
      <x:c r="C40" s="4"/>
      <x:c r="D40" s="4"/>
      <x:c r="E40" s="4"/>
      <x:c r="F40" s="4"/>
      <x:c r="G40" s="4"/>
      <x:c r="H40" s="4"/>
      <x:c r="I40" s="4"/>
      <x:c r="J40" s="4"/>
      <x:c r="K40" s="4"/>
      <x:c r="L40" s="4"/>
    </x:row>
    <x:row r="41" ht="19" customHeight="1">
      <x:c r="A41" s="1"/>
      <x:c r="B41" s="1"/>
      <x:c r="C41" s="4"/>
      <x:c r="D41" s="4"/>
      <x:c r="E41" s="4"/>
      <x:c r="F41" s="4"/>
      <x:c r="G41" s="4"/>
      <x:c r="H41" s="4"/>
      <x:c r="I41" s="4"/>
      <x:c r="J41" s="4"/>
      <x:c r="K41" s="4"/>
      <x:c r="L41" s="4"/>
    </x:row>
    <x:row r="42" ht="19" customHeight="1">
      <x:c r="A42" s="1"/>
      <x:c r="B42" s="1"/>
      <x:c r="C42" s="4"/>
      <x:c r="D42" s="4"/>
      <x:c r="E42" s="4"/>
      <x:c r="F42" s="4"/>
      <x:c r="G42" s="4"/>
      <x:c r="H42" s="4"/>
      <x:c r="I42" s="4"/>
      <x:c r="J42" s="4"/>
      <x:c r="K42" s="4"/>
      <x:c r="L42" s="4"/>
    </x:row>
    <x:row r="43" ht="19" customHeight="1">
      <x:c r="A43" s="1"/>
      <x:c r="B43" s="1"/>
      <x:c r="C43" s="4"/>
      <x:c r="D43" s="4"/>
      <x:c r="E43" s="4"/>
      <x:c r="F43" s="4"/>
      <x:c r="G43" s="4"/>
      <x:c r="H43" s="4"/>
      <x:c r="I43" s="4"/>
      <x:c r="J43" s="4"/>
      <x:c r="K43" s="4"/>
      <x:c r="L43" s="4"/>
    </x:row>
    <x:row r="44" ht="19" customHeight="1">
      <x:c r="A44" s="1"/>
      <x:c r="B44" s="1"/>
      <x:c r="C44" s="4"/>
      <x:c r="D44" s="4"/>
      <x:c r="E44" s="4"/>
      <x:c r="F44" s="4"/>
      <x:c r="G44" s="4"/>
      <x:c r="H44" s="4"/>
      <x:c r="I44" s="4"/>
      <x:c r="J44" s="4"/>
      <x:c r="K44" s="4"/>
      <x:c r="L44" s="4"/>
    </x:row>
    <x:row r="45" ht="19" customHeight="1">
      <x:c r="A45" s="1"/>
      <x:c r="B45" s="1"/>
      <x:c r="C45" s="4"/>
      <x:c r="D45" s="4"/>
      <x:c r="E45" s="4"/>
      <x:c r="F45" s="4"/>
      <x:c r="G45" s="4"/>
      <x:c r="H45" s="4"/>
      <x:c r="I45" s="4"/>
      <x:c r="J45" s="4"/>
      <x:c r="K45" s="4"/>
      <x:c r="L45" s="4"/>
    </x:row>
    <x:row r="46" ht="19" customHeight="1">
      <x:c r="A46" s="1"/>
      <x:c r="B46" s="1"/>
      <x:c r="C46" s="4"/>
      <x:c r="D46" s="4"/>
      <x:c r="E46" s="4"/>
      <x:c r="F46" s="4"/>
      <x:c r="G46" s="4"/>
      <x:c r="H46" s="4"/>
      <x:c r="I46" s="4"/>
      <x:c r="J46" s="4"/>
      <x:c r="K46" s="4"/>
      <x:c r="L46" s="4"/>
    </x:row>
    <x:row r="47" ht="19" customHeight="1">
      <x:c r="A47" s="1"/>
      <x:c r="B47" s="1"/>
      <x:c r="C47" s="4"/>
      <x:c r="D47" s="4"/>
      <x:c r="E47" s="4"/>
      <x:c r="F47" s="4"/>
      <x:c r="G47" s="4"/>
      <x:c r="H47" s="4"/>
      <x:c r="I47" s="4"/>
      <x:c r="J47" s="4"/>
      <x:c r="K47" s="4"/>
      <x:c r="L47" s="4"/>
    </x:row>
    <x:row r="48" ht="19" customHeight="1">
      <x:c r="A48" s="1"/>
      <x:c r="B48" s="1"/>
      <x:c r="C48" s="4"/>
      <x:c r="D48" s="4"/>
      <x:c r="E48" s="4"/>
      <x:c r="F48" s="4"/>
      <x:c r="G48" s="4"/>
      <x:c r="H48" s="4"/>
      <x:c r="I48" s="4"/>
      <x:c r="J48" s="4"/>
      <x:c r="K48" s="4"/>
      <x:c r="L48" s="4"/>
    </x:row>
    <x:row r="49" ht="19" customHeight="1">
      <x:c r="A49" s="1"/>
      <x:c r="B49" s="1"/>
      <x:c r="C49" s="4"/>
      <x:c r="D49" s="4"/>
      <x:c r="E49" s="4"/>
      <x:c r="F49" s="4"/>
      <x:c r="G49" s="4"/>
      <x:c r="H49" s="4"/>
      <x:c r="I49" s="4"/>
      <x:c r="J49" s="4"/>
      <x:c r="K49" s="4"/>
      <x:c r="L49" s="4"/>
    </x:row>
    <x:row r="50" ht="19" customHeight="1">
      <x:c r="A50" s="1"/>
      <x:c r="B50" s="1"/>
      <x:c r="C50" s="4"/>
      <x:c r="D50" s="4"/>
      <x:c r="E50" s="4"/>
      <x:c r="F50" s="4"/>
      <x:c r="G50" s="4"/>
      <x:c r="H50" s="4"/>
      <x:c r="I50" s="4"/>
      <x:c r="J50" s="4"/>
      <x:c r="K50" s="4"/>
      <x:c r="L50" s="4"/>
    </x:row>
    <x:row r="51" ht="19" customHeight="1">
      <x:c r="A51" s="1"/>
      <x:c r="B51" s="1"/>
      <x:c r="C51" s="4"/>
      <x:c r="D51" s="4"/>
      <x:c r="E51" s="4"/>
      <x:c r="F51" s="4"/>
      <x:c r="G51" s="4"/>
      <x:c r="H51" s="4"/>
      <x:c r="I51" s="4"/>
      <x:c r="J51" s="4"/>
      <x:c r="K51" s="4"/>
      <x:c r="L51" s="4"/>
    </x:row>
    <x:row r="52" ht="19" customHeight="1">
      <x:c r="A52" s="1"/>
      <x:c r="B52" s="1"/>
      <x:c r="C52" s="4"/>
      <x:c r="D52" s="4"/>
      <x:c r="E52" s="4"/>
      <x:c r="F52" s="4"/>
      <x:c r="G52" s="4"/>
      <x:c r="H52" s="4"/>
      <x:c r="I52" s="4"/>
      <x:c r="J52" s="4"/>
      <x:c r="K52" s="4"/>
      <x:c r="L52" s="4"/>
    </x:row>
    <x:row r="53" ht="19" customHeight="1">
      <x:c r="A53" s="1"/>
      <x:c r="B53" s="1"/>
      <x:c r="C53" s="4"/>
      <x:c r="D53" s="4"/>
      <x:c r="E53" s="4"/>
      <x:c r="F53" s="4"/>
      <x:c r="G53" s="4"/>
      <x:c r="H53" s="4"/>
      <x:c r="I53" s="4"/>
      <x:c r="J53" s="4"/>
      <x:c r="K53" s="4"/>
      <x:c r="L53" s="4"/>
    </x:row>
    <x:row r="54" ht="19" customHeight="1">
      <x:c r="A54" s="1"/>
      <x:c r="B54" s="1"/>
      <x:c r="C54" s="4"/>
      <x:c r="D54" s="4"/>
      <x:c r="E54" s="4"/>
      <x:c r="F54" s="4"/>
      <x:c r="G54" s="4"/>
      <x:c r="H54" s="4"/>
      <x:c r="I54" s="4"/>
      <x:c r="J54" s="4"/>
      <x:c r="K54" s="4"/>
      <x:c r="L54" s="4"/>
    </x:row>
    <x:row r="55" ht="19" customHeight="1">
      <x:c r="A55" s="1"/>
      <x:c r="B55" s="1"/>
      <x:c r="C55" s="4"/>
      <x:c r="D55" s="4"/>
      <x:c r="E55" s="4"/>
      <x:c r="F55" s="4"/>
      <x:c r="G55" s="4"/>
      <x:c r="H55" s="4"/>
      <x:c r="I55" s="4"/>
      <x:c r="J55" s="4"/>
      <x:c r="K55" s="4"/>
      <x:c r="L55" s="4"/>
    </x:row>
    <x:row r="56" ht="19" customHeight="1">
      <x:c r="A56" s="1"/>
      <x:c r="B56" s="1"/>
      <x:c r="C56" s="4"/>
      <x:c r="D56" s="4"/>
      <x:c r="E56" s="4"/>
      <x:c r="F56" s="4"/>
      <x:c r="G56" s="4"/>
      <x:c r="H56" s="4"/>
      <x:c r="I56" s="4"/>
      <x:c r="J56" s="4"/>
      <x:c r="K56" s="4"/>
      <x:c r="L56" s="4"/>
    </x:row>
    <x:row r="57" ht="19" customHeight="1">
      <x:c r="A57" s="1"/>
      <x:c r="B57" s="1"/>
      <x:c r="C57" s="4"/>
      <x:c r="D57" s="4"/>
      <x:c r="E57" s="4"/>
      <x:c r="F57" s="4"/>
      <x:c r="G57" s="4"/>
      <x:c r="H57" s="4"/>
      <x:c r="I57" s="4"/>
      <x:c r="J57" s="4"/>
      <x:c r="K57" s="4"/>
      <x:c r="L57" s="4"/>
    </x:row>
    <x:row r="58" ht="19" customHeight="1">
      <x:c r="A58" s="1"/>
      <x:c r="B58" s="1"/>
      <x:c r="C58" s="4"/>
      <x:c r="D58" s="4"/>
      <x:c r="E58" s="4"/>
      <x:c r="F58" s="4"/>
      <x:c r="G58" s="4"/>
      <x:c r="H58" s="4"/>
      <x:c r="I58" s="4"/>
      <x:c r="J58" s="4"/>
      <x:c r="K58" s="4"/>
      <x:c r="L58" s="4"/>
    </x:row>
    <x:row r="59" ht="19" customHeight="1">
      <x:c r="A59" s="1"/>
      <x:c r="B59" s="1"/>
      <x:c r="C59" s="4"/>
      <x:c r="D59" s="4"/>
      <x:c r="E59" s="4"/>
      <x:c r="F59" s="4"/>
      <x:c r="G59" s="4"/>
      <x:c r="H59" s="4"/>
      <x:c r="I59" s="4"/>
      <x:c r="J59" s="4"/>
      <x:c r="K59" s="4"/>
      <x:c r="L59" s="4"/>
    </x:row>
    <x:row r="60" ht="19" customHeight="1">
      <x:c r="A60" s="1"/>
      <x:c r="B60" s="1"/>
      <x:c r="C60" s="4"/>
      <x:c r="D60" s="4"/>
      <x:c r="E60" s="4"/>
      <x:c r="F60" s="4"/>
      <x:c r="G60" s="4"/>
      <x:c r="H60" s="4"/>
      <x:c r="I60" s="4"/>
      <x:c r="J60" s="4"/>
      <x:c r="K60" s="4"/>
      <x:c r="L60" s="4"/>
    </x:row>
    <x:row r="61" ht="19" customHeight="1">
      <x:c r="A61" s="1"/>
      <x:c r="B61" s="1"/>
      <x:c r="C61" s="4"/>
      <x:c r="D61" s="4"/>
      <x:c r="E61" s="4"/>
      <x:c r="F61" s="4"/>
      <x:c r="G61" s="4"/>
      <x:c r="H61" s="4"/>
      <x:c r="I61" s="4"/>
      <x:c r="J61" s="4"/>
      <x:c r="K61" s="4"/>
      <x:c r="L61" s="4"/>
    </x:row>
    <x:row r="62" ht="19" customHeight="1">
      <x:c r="A62" s="1"/>
      <x:c r="B62" s="1"/>
      <x:c r="C62" s="4"/>
      <x:c r="D62" s="4"/>
      <x:c r="E62" s="4"/>
      <x:c r="F62" s="4"/>
      <x:c r="G62" s="4"/>
      <x:c r="H62" s="4"/>
      <x:c r="I62" s="4"/>
      <x:c r="J62" s="4"/>
      <x:c r="K62" s="4"/>
      <x:c r="L62" s="4"/>
    </x:row>
    <x:row r="63" ht="19" customHeight="1">
      <x:c r="A63" s="1"/>
      <x:c r="B63" s="1"/>
      <x:c r="C63" s="4"/>
      <x:c r="D63" s="4"/>
      <x:c r="E63" s="4"/>
      <x:c r="F63" s="4"/>
      <x:c r="G63" s="4"/>
      <x:c r="H63" s="4"/>
      <x:c r="I63" s="4"/>
      <x:c r="J63" s="4"/>
      <x:c r="K63" s="4"/>
      <x:c r="L63" s="4"/>
    </x:row>
    <x:row r="64" ht="19" customHeight="1">
      <x:c r="A64" s="1"/>
      <x:c r="B64" s="1"/>
      <x:c r="C64" s="4"/>
      <x:c r="D64" s="4"/>
      <x:c r="E64" s="4"/>
      <x:c r="F64" s="4"/>
      <x:c r="G64" s="4"/>
      <x:c r="H64" s="4"/>
      <x:c r="I64" s="4"/>
      <x:c r="J64" s="4"/>
      <x:c r="K64" s="4"/>
      <x:c r="L64" s="4"/>
    </x:row>
    <x:row r="65" ht="19" customHeight="1">
      <x:c r="A65" s="1"/>
      <x:c r="B65" s="1"/>
      <x:c r="C65" s="4"/>
      <x:c r="D65" s="4"/>
      <x:c r="E65" s="4"/>
      <x:c r="F65" s="4"/>
      <x:c r="G65" s="4"/>
      <x:c r="H65" s="4"/>
      <x:c r="I65" s="4"/>
      <x:c r="J65" s="4"/>
      <x:c r="K65" s="4"/>
      <x:c r="L65" s="4"/>
    </x:row>
    <x:row r="66" ht="19" customHeight="1">
      <x:c r="A66" s="1"/>
      <x:c r="B66" s="1"/>
      <x:c r="C66" s="4"/>
      <x:c r="D66" s="4"/>
      <x:c r="E66" s="4"/>
      <x:c r="F66" s="4"/>
      <x:c r="G66" s="4"/>
      <x:c r="H66" s="4"/>
      <x:c r="I66" s="4"/>
      <x:c r="J66" s="4"/>
      <x:c r="K66" s="4"/>
      <x:c r="L66" s="4"/>
    </x:row>
    <x:row r="67" ht="19" customHeight="1">
      <x:c r="A67" s="1"/>
      <x:c r="B67" s="1"/>
      <x:c r="C67" s="4"/>
      <x:c r="D67" s="4"/>
      <x:c r="E67" s="4"/>
      <x:c r="F67" s="4"/>
      <x:c r="G67" s="4"/>
      <x:c r="H67" s="4"/>
      <x:c r="I67" s="4"/>
      <x:c r="J67" s="4"/>
      <x:c r="K67" s="4"/>
      <x:c r="L67" s="4"/>
    </x:row>
    <x:row r="68" ht="19" customHeight="1">
      <x:c r="A68" s="1"/>
      <x:c r="B68" s="1"/>
      <x:c r="C68" s="4"/>
      <x:c r="D68" s="4"/>
      <x:c r="E68" s="4"/>
      <x:c r="F68" s="4"/>
      <x:c r="G68" s="4"/>
      <x:c r="H68" s="4"/>
      <x:c r="I68" s="4"/>
      <x:c r="J68" s="4"/>
      <x:c r="K68" s="4"/>
      <x:c r="L68" s="4"/>
    </x:row>
    <x:row r="69" ht="19" customHeight="1">
      <x:c r="A69" s="1"/>
      <x:c r="B69" s="1"/>
      <x:c r="C69" s="4"/>
      <x:c r="D69" s="4"/>
      <x:c r="E69" s="4"/>
      <x:c r="F69" s="4"/>
      <x:c r="G69" s="4"/>
      <x:c r="H69" s="4"/>
      <x:c r="I69" s="4"/>
      <x:c r="J69" s="4"/>
      <x:c r="K69" s="4"/>
      <x:c r="L69" s="4"/>
    </x:row>
    <x:row r="70" ht="19" customHeight="1">
      <x:c r="A70" s="1"/>
      <x:c r="B70" s="1"/>
      <x:c r="C70" s="4"/>
      <x:c r="D70" s="4"/>
      <x:c r="E70" s="4"/>
      <x:c r="F70" s="4"/>
      <x:c r="G70" s="4"/>
      <x:c r="H70" s="4"/>
      <x:c r="I70" s="4"/>
      <x:c r="J70" s="4"/>
      <x:c r="K70" s="4"/>
      <x:c r="L70" s="4"/>
    </x:row>
    <x:row r="71" ht="19" customHeight="1">
      <x:c r="A71" s="1"/>
      <x:c r="B71" s="1"/>
      <x:c r="C71" s="4"/>
      <x:c r="D71" s="4"/>
      <x:c r="E71" s="4"/>
      <x:c r="F71" s="4"/>
      <x:c r="G71" s="4"/>
      <x:c r="H71" s="4"/>
      <x:c r="I71" s="4"/>
      <x:c r="J71" s="4"/>
      <x:c r="K71" s="4"/>
      <x:c r="L71" s="4"/>
    </x:row>
    <x:row r="72" ht="19" customHeight="1">
      <x:c r="A72" s="1"/>
      <x:c r="B72" s="1"/>
      <x:c r="C72" s="4"/>
      <x:c r="D72" s="4"/>
      <x:c r="E72" s="4"/>
      <x:c r="F72" s="4"/>
      <x:c r="G72" s="4"/>
      <x:c r="H72" s="4"/>
      <x:c r="I72" s="4"/>
      <x:c r="J72" s="4"/>
      <x:c r="K72" s="4"/>
      <x:c r="L72" s="4"/>
    </x:row>
    <x:row r="73" ht="19" customHeight="1">
      <x:c r="A73" s="1"/>
      <x:c r="B73" s="1"/>
      <x:c r="C73" s="4"/>
      <x:c r="D73" s="4"/>
      <x:c r="E73" s="4"/>
      <x:c r="F73" s="4"/>
      <x:c r="G73" s="4"/>
      <x:c r="H73" s="4"/>
      <x:c r="I73" s="4"/>
      <x:c r="J73" s="4"/>
      <x:c r="K73" s="4"/>
      <x:c r="L73" s="4"/>
    </x:row>
    <x:row r="74" ht="19" customHeight="1">
      <x:c r="A74" s="1"/>
      <x:c r="B74" s="1"/>
      <x:c r="C74" s="4"/>
      <x:c r="D74" s="4"/>
      <x:c r="E74" s="4"/>
      <x:c r="F74" s="4"/>
      <x:c r="G74" s="4"/>
      <x:c r="H74" s="4"/>
      <x:c r="I74" s="4"/>
      <x:c r="J74" s="4"/>
      <x:c r="K74" s="4"/>
      <x:c r="L74" s="4"/>
    </x:row>
    <x:row r="75" ht="19" customHeight="1">
      <x:c r="A75" s="1"/>
      <x:c r="B75" s="1"/>
      <x:c r="C75" s="4"/>
      <x:c r="D75" s="4"/>
      <x:c r="E75" s="4"/>
      <x:c r="F75" s="4"/>
      <x:c r="G75" s="4"/>
      <x:c r="H75" s="4"/>
      <x:c r="I75" s="4"/>
      <x:c r="J75" s="4"/>
      <x:c r="K75" s="4"/>
      <x:c r="L75" s="4"/>
    </x:row>
    <x:row r="76" ht="19" customHeight="1">
      <x:c r="A76" s="1"/>
      <x:c r="B76" s="1"/>
      <x:c r="C76" s="4"/>
      <x:c r="D76" s="4"/>
      <x:c r="E76" s="4"/>
      <x:c r="F76" s="4"/>
      <x:c r="G76" s="4"/>
      <x:c r="H76" s="4"/>
      <x:c r="I76" s="4"/>
      <x:c r="J76" s="4"/>
      <x:c r="K76" s="4"/>
      <x:c r="L76" s="4"/>
    </x:row>
    <x:row r="77" ht="19" customHeight="1">
      <x:c r="A77" s="1"/>
      <x:c r="B77" s="1"/>
      <x:c r="C77" s="4"/>
      <x:c r="D77" s="4"/>
      <x:c r="E77" s="4"/>
      <x:c r="F77" s="4"/>
      <x:c r="G77" s="4"/>
      <x:c r="H77" s="4"/>
      <x:c r="I77" s="4"/>
      <x:c r="J77" s="4"/>
      <x:c r="K77" s="4"/>
      <x:c r="L77" s="4"/>
    </x:row>
    <x:row r="78" ht="19" customHeight="1">
      <x:c r="A78" s="1"/>
      <x:c r="B78" s="1"/>
      <x:c r="C78" s="4"/>
      <x:c r="D78" s="4"/>
      <x:c r="E78" s="4"/>
      <x:c r="F78" s="4"/>
      <x:c r="G78" s="4"/>
      <x:c r="H78" s="4"/>
      <x:c r="I78" s="4"/>
      <x:c r="J78" s="4"/>
      <x:c r="K78" s="4"/>
      <x:c r="L78" s="4"/>
    </x:row>
    <x:row r="79" ht="19" customHeight="1">
      <x:c r="A79" s="1"/>
      <x:c r="B79" s="1"/>
      <x:c r="C79" s="4"/>
      <x:c r="D79" s="4"/>
      <x:c r="E79" s="4"/>
      <x:c r="F79" s="4"/>
      <x:c r="G79" s="4"/>
      <x:c r="H79" s="4"/>
      <x:c r="I79" s="4"/>
      <x:c r="J79" s="4"/>
      <x:c r="K79" s="4"/>
      <x:c r="L79" s="4"/>
    </x:row>
    <x:row r="80" ht="19" customHeight="1">
      <x:c r="A80" s="1"/>
      <x:c r="B80" s="1"/>
      <x:c r="C80" s="4"/>
      <x:c r="D80" s="4"/>
      <x:c r="E80" s="4"/>
      <x:c r="F80" s="4"/>
      <x:c r="G80" s="4"/>
      <x:c r="H80" s="4"/>
      <x:c r="I80" s="4"/>
      <x:c r="J80" s="4"/>
      <x:c r="K80" s="4"/>
      <x:c r="L80" s="4"/>
    </x:row>
    <x:row r="81" ht="19" customHeight="1">
      <x:c r="A81" s="1"/>
      <x:c r="B81" s="1"/>
      <x:c r="C81" s="4"/>
      <x:c r="D81" s="4"/>
      <x:c r="E81" s="4"/>
      <x:c r="F81" s="4"/>
      <x:c r="G81" s="4"/>
      <x:c r="H81" s="4"/>
      <x:c r="I81" s="4"/>
      <x:c r="J81" s="4"/>
      <x:c r="K81" s="4"/>
      <x:c r="L81" s="4"/>
    </x:row>
    <x:row r="82" ht="19" customHeight="1">
      <x:c r="A82" s="1"/>
      <x:c r="B82" s="1"/>
      <x:c r="C82" s="4"/>
      <x:c r="D82" s="4"/>
      <x:c r="E82" s="4"/>
      <x:c r="F82" s="4"/>
      <x:c r="G82" s="4"/>
      <x:c r="H82" s="4"/>
      <x:c r="I82" s="4"/>
      <x:c r="J82" s="4"/>
      <x:c r="K82" s="4"/>
      <x:c r="L82" s="4"/>
    </x:row>
    <x:row r="83" ht="19" customHeight="1">
      <x:c r="A83" s="1"/>
      <x:c r="B83" s="1"/>
      <x:c r="C83" s="4"/>
      <x:c r="D83" s="4"/>
      <x:c r="E83" s="4"/>
      <x:c r="F83" s="4"/>
      <x:c r="G83" s="4"/>
      <x:c r="H83" s="4"/>
      <x:c r="I83" s="4"/>
      <x:c r="J83" s="4"/>
      <x:c r="K83" s="4"/>
      <x:c r="L83" s="4"/>
    </x:row>
    <x:row r="84" ht="19" customHeight="1">
      <x:c r="A84" s="1"/>
      <x:c r="B84" s="1"/>
      <x:c r="C84" s="4"/>
      <x:c r="D84" s="4"/>
      <x:c r="E84" s="4"/>
      <x:c r="F84" s="4"/>
      <x:c r="G84" s="4"/>
      <x:c r="H84" s="4"/>
      <x:c r="I84" s="4"/>
      <x:c r="J84" s="4"/>
      <x:c r="K84" s="4"/>
      <x:c r="L84" s="4"/>
    </x:row>
    <x:row r="85" ht="19" customHeight="1">
      <x:c r="A85" s="1"/>
      <x:c r="B85" s="1"/>
      <x:c r="C85" s="4"/>
      <x:c r="D85" s="4"/>
      <x:c r="E85" s="4"/>
      <x:c r="F85" s="4"/>
      <x:c r="G85" s="4"/>
      <x:c r="H85" s="4"/>
      <x:c r="I85" s="4"/>
      <x:c r="J85" s="4"/>
      <x:c r="K85" s="4"/>
      <x:c r="L85" s="4"/>
    </x:row>
    <x:row r="86" ht="19" customHeight="1">
      <x:c r="A86" s="1"/>
      <x:c r="B86" s="1"/>
      <x:c r="C86" s="4"/>
      <x:c r="D86" s="4"/>
      <x:c r="E86" s="4"/>
      <x:c r="F86" s="4"/>
      <x:c r="G86" s="4"/>
      <x:c r="H86" s="4"/>
      <x:c r="I86" s="4"/>
      <x:c r="J86" s="4"/>
      <x:c r="K86" s="4"/>
      <x:c r="L86" s="4"/>
    </x:row>
    <x:row r="87" ht="19" customHeight="1">
      <x:c r="A87" s="1"/>
      <x:c r="B87" s="1"/>
      <x:c r="C87" s="4"/>
      <x:c r="D87" s="4"/>
      <x:c r="E87" s="4"/>
      <x:c r="F87" s="4"/>
      <x:c r="G87" s="4"/>
      <x:c r="H87" s="4"/>
      <x:c r="I87" s="4"/>
      <x:c r="J87" s="4"/>
      <x:c r="K87" s="4"/>
      <x:c r="L87" s="4"/>
    </x:row>
    <x:row r="88" ht="19" customHeight="1">
      <x:c r="A88" s="1"/>
      <x:c r="B88" s="1"/>
      <x:c r="C88" s="4"/>
      <x:c r="D88" s="4"/>
      <x:c r="E88" s="4"/>
      <x:c r="F88" s="4"/>
      <x:c r="G88" s="4"/>
      <x:c r="H88" s="4"/>
      <x:c r="I88" s="4"/>
      <x:c r="J88" s="4"/>
      <x:c r="K88" s="4"/>
      <x:c r="L88" s="4"/>
    </x:row>
    <x:row r="89" ht="19" customHeight="1">
      <x:c r="A89" s="1"/>
      <x:c r="B89" s="1"/>
      <x:c r="C89" s="4"/>
      <x:c r="D89" s="4"/>
      <x:c r="E89" s="4"/>
      <x:c r="F89" s="4"/>
      <x:c r="G89" s="4"/>
      <x:c r="H89" s="4"/>
      <x:c r="I89" s="4"/>
      <x:c r="J89" s="4"/>
      <x:c r="K89" s="4"/>
      <x:c r="L89" s="4"/>
    </x:row>
    <x:row r="90" ht="19" customHeight="1">
      <x:c r="A90" s="1"/>
      <x:c r="B90" s="1"/>
      <x:c r="C90" s="4"/>
      <x:c r="D90" s="4"/>
      <x:c r="E90" s="4"/>
      <x:c r="F90" s="4"/>
      <x:c r="G90" s="4"/>
      <x:c r="H90" s="4"/>
      <x:c r="I90" s="4"/>
      <x:c r="J90" s="4"/>
      <x:c r="K90" s="4"/>
      <x:c r="L90" s="4"/>
    </x:row>
    <x:row r="91" ht="19" customHeight="1">
      <x:c r="A91" s="1"/>
      <x:c r="B91" s="1"/>
      <x:c r="C91" s="4"/>
      <x:c r="D91" s="4"/>
      <x:c r="E91" s="4"/>
      <x:c r="F91" s="4"/>
      <x:c r="G91" s="4"/>
      <x:c r="H91" s="4"/>
      <x:c r="I91" s="4"/>
      <x:c r="J91" s="4"/>
      <x:c r="K91" s="4"/>
      <x:c r="L91" s="4"/>
    </x:row>
    <x:row r="92" ht="19" customHeight="1">
      <x:c r="A92" s="1"/>
      <x:c r="B92" s="1"/>
      <x:c r="C92" s="4"/>
      <x:c r="D92" s="4"/>
      <x:c r="E92" s="4"/>
      <x:c r="F92" s="4"/>
      <x:c r="G92" s="4"/>
      <x:c r="H92" s="4"/>
      <x:c r="I92" s="4"/>
      <x:c r="J92" s="4"/>
      <x:c r="K92" s="4"/>
      <x:c r="L92" s="4"/>
    </x:row>
    <x:row r="93" ht="19" customHeight="1">
      <x:c r="A93" s="1"/>
      <x:c r="B93" s="1"/>
      <x:c r="C93" s="4"/>
      <x:c r="D93" s="4"/>
      <x:c r="E93" s="4"/>
      <x:c r="F93" s="4"/>
      <x:c r="G93" s="4"/>
      <x:c r="H93" s="4"/>
      <x:c r="I93" s="4"/>
      <x:c r="J93" s="4"/>
      <x:c r="K93" s="4"/>
      <x:c r="L93" s="4"/>
    </x:row>
    <x:row r="94" ht="19" customHeight="1">
      <x:c r="A94" s="1"/>
      <x:c r="B94" s="1"/>
      <x:c r="C94" s="4"/>
      <x:c r="D94" s="4"/>
      <x:c r="E94" s="4"/>
      <x:c r="F94" s="4"/>
      <x:c r="G94" s="4"/>
      <x:c r="H94" s="4"/>
      <x:c r="I94" s="4"/>
      <x:c r="J94" s="4"/>
      <x:c r="K94" s="4"/>
      <x:c r="L94" s="4"/>
    </x:row>
    <x:row r="95" ht="19" customHeight="1">
      <x:c r="A95" s="1"/>
      <x:c r="B95" s="1"/>
      <x:c r="C95" s="4"/>
      <x:c r="D95" s="4"/>
      <x:c r="E95" s="4"/>
      <x:c r="F95" s="4"/>
      <x:c r="G95" s="4"/>
      <x:c r="H95" s="4"/>
      <x:c r="I95" s="4"/>
      <x:c r="J95" s="4"/>
      <x:c r="K95" s="4"/>
      <x:c r="L95" s="4"/>
    </x:row>
    <x:row r="96" ht="19" customHeight="1">
      <x:c r="A96" s="1"/>
      <x:c r="B96" s="1"/>
      <x:c r="C96" s="4"/>
      <x:c r="D96" s="4"/>
      <x:c r="E96" s="4"/>
      <x:c r="F96" s="4"/>
      <x:c r="G96" s="4"/>
      <x:c r="H96" s="4"/>
      <x:c r="I96" s="4"/>
      <x:c r="J96" s="4"/>
      <x:c r="K96" s="4"/>
      <x:c r="L96" s="4"/>
    </x:row>
    <x:row r="97" ht="19" customHeight="1">
      <x:c r="A97" s="1"/>
      <x:c r="B97" s="1"/>
      <x:c r="C97" s="4"/>
      <x:c r="D97" s="4"/>
      <x:c r="E97" s="4"/>
      <x:c r="F97" s="4"/>
      <x:c r="G97" s="4"/>
      <x:c r="H97" s="4"/>
      <x:c r="I97" s="4"/>
      <x:c r="J97" s="4"/>
      <x:c r="K97" s="4"/>
      <x:c r="L97" s="4"/>
    </x:row>
    <x:row r="98" ht="19" customHeight="1">
      <x:c r="A98" s="1"/>
      <x:c r="B98" s="1"/>
      <x:c r="C98" s="4"/>
      <x:c r="D98" s="4"/>
      <x:c r="E98" s="4"/>
      <x:c r="F98" s="4"/>
      <x:c r="G98" s="4"/>
      <x:c r="H98" s="4"/>
      <x:c r="I98" s="4"/>
      <x:c r="J98" s="4"/>
      <x:c r="K98" s="4"/>
      <x:c r="L98" s="4"/>
    </x:row>
    <x:row r="99" ht="19" customHeight="1">
      <x:c r="A99" s="1"/>
      <x:c r="B99" s="1"/>
      <x:c r="C99" s="4"/>
      <x:c r="D99" s="4"/>
      <x:c r="E99" s="4"/>
      <x:c r="F99" s="4"/>
      <x:c r="G99" s="4"/>
      <x:c r="H99" s="4"/>
      <x:c r="I99" s="4"/>
      <x:c r="J99" s="4"/>
      <x:c r="K99" s="4"/>
      <x:c r="L99" s="4"/>
    </x:row>
    <x:row r="100" ht="19" customHeight="1">
      <x:c r="A100" s="1"/>
      <x:c r="B100" s="1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</x:row>
    <x:row r="101" ht="19" customHeight="1">
      <x:c r="A101" s="1"/>
      <x:c r="B101" s="1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</x:row>
    <x:row r="102" ht="19" customHeight="1">
      <x:c r="A102" s="1"/>
      <x:c r="B102" s="1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</x:row>
    <x:row r="103" ht="19" customHeight="1">
      <x:c r="A103" s="1"/>
      <x:c r="B103" s="1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</x:row>
    <x:row r="104" ht="19" customHeight="1">
      <x:c r="A104" s="1"/>
      <x:c r="B104" s="1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</x:row>
    <x:row r="105" ht="19" customHeight="1">
      <x:c r="A105" s="1"/>
      <x:c r="B105" s="1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</x:row>
    <x:row r="106" ht="19" customHeight="1">
      <x:c r="A106" s="1"/>
      <x:c r="B106" s="1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</x:row>
    <x:row r="107" ht="19" customHeight="1">
      <x:c r="A107" s="1"/>
      <x:c r="B107" s="1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</x:row>
    <x:row r="108" ht="19" customHeight="1">
      <x:c r="A108" s="1"/>
      <x:c r="B108" s="1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</x:row>
    <x:row r="109" ht="19" customHeight="1">
      <x:c r="A109" s="1"/>
      <x:c r="B109" s="1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</x:row>
    <x:row r="110" ht="19" customHeight="1">
      <x:c r="A110" s="1"/>
      <x:c r="B110" s="1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</x:row>
    <x:row r="111" ht="19" customHeight="1">
      <x:c r="A111" s="1"/>
      <x:c r="B111" s="1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</x:row>
    <x:row r="112" ht="19" customHeight="1">
      <x:c r="A112" s="1"/>
      <x:c r="B112" s="1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</x:row>
    <x:row r="113" ht="19" customHeight="1">
      <x:c r="A113" s="1"/>
      <x:c r="B113" s="1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</x:row>
    <x:row r="114" ht="19" customHeight="1">
      <x:c r="A114" s="1"/>
      <x:c r="B114" s="1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</x:row>
    <x:row r="115" ht="19" customHeight="1">
      <x:c r="A115" s="1"/>
      <x:c r="B115" s="1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</x:row>
    <x:row r="116" ht="19" customHeight="1">
      <x:c r="A116" s="1"/>
      <x:c r="B116" s="1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</x:row>
    <x:row r="117" ht="19" customHeight="1">
      <x:c r="A117" s="1"/>
      <x:c r="B117" s="1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</x:row>
    <x:row r="118" ht="19" customHeight="1">
      <x:c r="A118" s="1"/>
      <x:c r="B118" s="1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</x:row>
    <x:row r="119" ht="19" customHeight="1">
      <x:c r="A119" s="1"/>
      <x:c r="B119" s="1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</x:row>
    <x:row r="120" ht="19" customHeight="1">
      <x:c r="A120" s="1"/>
      <x:c r="B120" s="1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</x:row>
    <x:row r="121" ht="19" customHeight="1">
      <x:c r="A121" s="1"/>
      <x:c r="B121" s="1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</x:row>
    <x:row r="122" ht="19" customHeight="1">
      <x:c r="A122" s="1"/>
      <x:c r="B122" s="1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</x:row>
    <x:row r="123" ht="19" customHeight="1">
      <x:c r="A123" s="1"/>
      <x:c r="B123" s="1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</x:row>
    <x:row r="124" ht="19" customHeight="1">
      <x:c r="A124" s="1"/>
      <x:c r="B124" s="1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</x:row>
    <x:row r="125" ht="19" customHeight="1">
      <x:c r="A125" s="1"/>
      <x:c r="B125" s="1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</x:row>
  </x:sheetData>
  <x:mergeCells>
    <x:mergeCell ref="A33:L33"/>
  </x:mergeCells>
  <x:conditionalFormatting sqref="C16:L16">
    <x:cfRule type="expression" dxfId="5" priority="1">
      <x:formula>ABS(C16)&gt;0.03</x:formula>
    </x:cfRule>
    <x:cfRule type="expression" dxfId="13" priority="3">
      <x:formula>ABS(C16)&gt;0.03</x:formula>
    </x:cfRule>
  </x:conditionalFormatting>
  <x:conditionalFormatting sqref="C17:L17">
    <x:cfRule type="expression" dxfId="6" priority="2">
      <x:formula>ABS(C17)&gt;0.03</x:formula>
    </x:cfRule>
    <x:cfRule type="expression" dxfId="14" priority="4">
      <x:formula>ABS(C17)&gt;0.03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2F343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6" hidden="0" customWidth="1"/>
    <x:col min="2" max="2" width="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8" customHeight="1">
      <x:c r="A1" s="88" t="str">
        <x:v>Discounted Cash Flow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</x:row>
    <x:row r="2" ht="19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9" customHeight="1">
      <x:c r="A3" s="1" t="str">
        <x:v>Pricol Limited | Consolidated | INR crore, except per-share data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19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19" customHeight="1">
      <x:c r="A5" s="91" t="str">
        <x:v>Metric</x:v>
      </x:c>
      <x:c r="B5" s="91"/>
      <x:c r="C5" s="91" t="str">
        <x:v>FY2027E</x:v>
      </x:c>
      <x:c r="D5" s="91" t="str">
        <x:v>FY2028E</x:v>
      </x:c>
      <x:c r="E5" s="91" t="str">
        <x:v>FY2029E</x:v>
      </x:c>
      <x:c r="F5" s="91" t="str">
        <x:v>FY2030E</x:v>
      </x:c>
      <x:c r="G5" s="91" t="str">
        <x:v>FY2031E</x:v>
      </x:c>
      <x:c r="H5" s="91"/>
      <x:c r="I5" s="91"/>
      <x:c r="J5" s="91"/>
      <x:c r="K5" s="91"/>
      <x:c r="L5" s="91"/>
    </x:row>
    <x:row r="6" ht="19" customHeight="1">
      <x:c r="A6" s="1"/>
      <x:c r="B6" s="1"/>
      <x:c r="C6" s="4"/>
      <x:c r="D6" s="4"/>
      <x:c r="E6" s="4"/>
      <x:c r="F6" s="4"/>
      <x:c r="G6" s="4"/>
      <x:c r="H6" s="4"/>
      <x:c r="I6" s="4"/>
      <x:c r="J6" s="4"/>
      <x:c r="K6" s="4"/>
      <x:c r="L6" s="4"/>
    </x:row>
    <x:row r="7" ht="19" customHeight="1">
      <x:c r="A7" s="94" t="str">
        <x:v>Unlevered free cash flow</x:v>
      </x:c>
      <x:c r="B7" s="94"/>
      <x:c r="C7" s="95"/>
      <x:c r="D7" s="95"/>
      <x:c r="E7" s="95"/>
      <x:c r="F7" s="95"/>
      <x:c r="G7" s="95"/>
      <x:c r="H7" s="4"/>
      <x:c r="I7" s="4"/>
      <x:c r="J7" s="4"/>
      <x:c r="K7" s="4"/>
      <x:c r="L7" s="4"/>
    </x:row>
    <x:row r="8" ht="19" customHeight="1">
      <x:c r="A8" s="1" t="str">
        <x:v>Operating EBIT</x:v>
      </x:c>
      <x:c r="B8" s="1"/>
      <x:c r="C8" s="26" t="n">
        <x:f>'07_Income_Statement'!H19</x:f>
        <x:v>375.1986080000001</x:v>
      </x:c>
      <x:c r="D8" s="26" t="n">
        <x:f>'07_Income_Statement'!I19</x:f>
        <x:v>420.0230720000002</x:v>
      </x:c>
      <x:c r="E8" s="26" t="n">
        <x:f>'07_Income_Statement'!J19</x:f>
        <x:v>472.4595848580002</x:v>
      </x:c>
      <x:c r="F8" s="26" t="n">
        <x:f>'07_Income_Statement'!K19</x:f>
        <x:v>521.9327113820102</x:v>
      </x:c>
      <x:c r="G8" s="26" t="n">
        <x:f>'07_Income_Statement'!L19</x:f>
        <x:v>573.007648420543</x:v>
      </x:c>
      <x:c r="H8" s="4"/>
      <x:c r="I8" s="4"/>
      <x:c r="J8" s="4"/>
      <x:c r="K8" s="4"/>
      <x:c r="L8" s="4"/>
    </x:row>
    <x:row r="9" ht="19" customHeight="1">
      <x:c r="A9" s="1" t="str">
        <x:v>Tax on operating EBIT</x:v>
      </x:c>
      <x:c r="B9" s="1"/>
      <x:c r="C9" s="26" t="n">
        <x:f>MAX(0,C8)*'05_Assumptions'!H14</x:f>
        <x:v>93.79965200000002</x:v>
      </x:c>
      <x:c r="D9" s="26" t="n">
        <x:f>MAX(0,D8)*'05_Assumptions'!I14</x:f>
        <x:v>105.00576800000005</x:v>
      </x:c>
      <x:c r="E9" s="26" t="n">
        <x:f>MAX(0,E8)*'05_Assumptions'!J14</x:f>
        <x:v>118.11489621450005</x:v>
      </x:c>
      <x:c r="F9" s="26" t="n">
        <x:f>MAX(0,F8)*'05_Assumptions'!K14</x:f>
        <x:v>130.48317784550255</x:v>
      </x:c>
      <x:c r="G9" s="26" t="n">
        <x:f>MAX(0,G8)*'05_Assumptions'!L14</x:f>
        <x:v>143.25191210513574</x:v>
      </x:c>
      <x:c r="H9" s="4"/>
      <x:c r="I9" s="4"/>
      <x:c r="J9" s="4"/>
      <x:c r="K9" s="4"/>
      <x:c r="L9" s="4"/>
    </x:row>
    <x:row r="10" ht="19" customHeight="1">
      <x:c r="A10" s="1" t="str">
        <x:v>NOPAT</x:v>
      </x:c>
      <x:c r="B10" s="1"/>
      <x:c r="C10" s="4" t="n">
        <x:f>C8-C9</x:f>
        <x:v>281.39895600000006</x:v>
      </x:c>
      <x:c r="D10" s="4" t="n">
        <x:f>D8-D9</x:f>
        <x:v>315.01730400000014</x:v>
      </x:c>
      <x:c r="E10" s="4" t="n">
        <x:f>E8-E9</x:f>
        <x:v>354.34468864350015</x:v>
      </x:c>
      <x:c r="F10" s="4" t="n">
        <x:f>F8-F9</x:f>
        <x:v>391.44953353650766</x:v>
      </x:c>
      <x:c r="G10" s="4" t="n">
        <x:f>G8-G9</x:f>
        <x:v>429.75573631540726</x:v>
      </x:c>
      <x:c r="H10" s="4"/>
      <x:c r="I10" s="4"/>
      <x:c r="J10" s="4"/>
      <x:c r="K10" s="4"/>
      <x:c r="L10" s="4"/>
    </x:row>
    <x:row r="11" ht="19" customHeight="1">
      <x:c r="A11" s="1" t="str">
        <x:v>Depreciation and amortisation</x:v>
      </x:c>
      <x:c r="B11" s="1"/>
      <x:c r="C11" s="26" t="n">
        <x:f>'07_Income_Statement'!H12</x:f>
        <x:v>121.18394999999998</x:v>
      </x:c>
      <x:c r="D11" s="26" t="n">
        <x:f>'07_Income_Statement'!I12</x:f>
        <x:v>140.8480395</x:v>
      </x:c>
      <x:c r="E11" s="26" t="n">
        <x:f>'07_Income_Statement'!J12</x:f>
        <x:v>156.803534445</x:v>
      </x:c>
      <x:c r="F11" s="26" t="n">
        <x:f>'07_Income_Statement'!K12</x:f>
        <x:v>169.11019239495</x:v>
      </x:c>
      <x:c r="G11" s="26" t="n">
        <x:f>'07_Income_Statement'!L12</x:f>
        <x:v>171.13758654440448</x:v>
      </x:c>
      <x:c r="H11" s="4"/>
      <x:c r="I11" s="4"/>
      <x:c r="J11" s="4"/>
      <x:c r="K11" s="4"/>
      <x:c r="L11" s="4"/>
    </x:row>
    <x:row r="12" ht="19" customHeight="1">
      <x:c r="A12" s="1" t="str">
        <x:v>Cash capex plus new lease assets</x:v>
      </x:c>
      <x:c r="B12" s="1"/>
      <x:c r="C12" s="26" t="n">
        <x:f>'06_Schedules'!H23+'06_Schedules'!H39</x:f>
        <x:v>358</x:v>
      </x:c>
      <x:c r="D12" s="26" t="n">
        <x:f>'06_Schedules'!I23+'06_Schedules'!I39</x:f>
        <x:v>358</x:v>
      </x:c>
      <x:c r="E12" s="26" t="n">
        <x:f>'06_Schedules'!J23+'06_Schedules'!J39</x:f>
        <x:v>283</x:v>
      </x:c>
      <x:c r="F12" s="26" t="n">
        <x:f>'06_Schedules'!K23+'06_Schedules'!K39</x:f>
        <x:v>293</x:v>
      </x:c>
      <x:c r="G12" s="26" t="n">
        <x:f>'06_Schedules'!L23+'06_Schedules'!L39</x:f>
        <x:v>308</x:v>
      </x:c>
      <x:c r="H12" s="4"/>
      <x:c r="I12" s="4"/>
      <x:c r="J12" s="4"/>
      <x:c r="K12" s="4"/>
      <x:c r="L12" s="4"/>
    </x:row>
    <x:row r="13" ht="19" customHeight="1">
      <x:c r="A13" s="1" t="str">
        <x:v>Change in operating working capital</x:v>
      </x:c>
      <x:c r="B13" s="1"/>
      <x:c r="C13" s="26" t="n">
        <x:f>'06_Schedules'!H18</x:f>
        <x:v>66.9536931506849</x:v>
      </x:c>
      <x:c r="D13" s="26" t="n">
        <x:f>'06_Schedules'!I18</x:f>
        <x:v>70.33377342465769</x:v>
      </x:c>
      <x:c r="E13" s="26" t="n">
        <x:f>'06_Schedules'!J18</x:f>
        <x:v>72.77366966301372</x:v>
      </x:c>
      <x:c r="F13" s="26" t="n">
        <x:f>'06_Schedules'!K18</x:f>
        <x:v>69.40510244701397</x:v>
      </x:c>
      <x:c r="G13" s="26" t="n">
        <x:f>'06_Schedules'!L18</x:f>
        <x:v>65.34533440824976</x:v>
      </x:c>
      <x:c r="H13" s="4"/>
      <x:c r="I13" s="4"/>
      <x:c r="J13" s="4"/>
      <x:c r="K13" s="4"/>
      <x:c r="L13" s="4"/>
    </x:row>
    <x:row r="14" ht="19" customHeight="1">
      <x:c r="A14" s="74" t="str">
        <x:v>Unlevered free cash flow</x:v>
      </x:c>
      <x:c r="B14" s="74"/>
      <x:c r="C14" s="78" t="n">
        <x:f>SUM(C10:C11)-SUM(C12:C13)-C20</x:f>
        <x:v>-29.410107150684865</x:v>
      </x:c>
      <x:c r="D14" s="78" t="n">
        <x:f>SUM(D10:D11)-SUM(D12:D13)-D20</x:f>
        <x:v>17.844088075342384</x:v>
      </x:c>
      <x:c r="E14" s="78" t="n">
        <x:f>SUM(E10:E11)-SUM(E12:E13)-E20</x:f>
        <x:v>145.3510102454864</x:v>
      </x:c>
      <x:c r="F14" s="78" t="n">
        <x:f>SUM(F10:F11)-SUM(F12:F13)-F20</x:f>
        <x:v>188.5950527700437</x:v>
      </x:c>
      <x:c r="G14" s="78" t="n">
        <x:f>SUM(G10:G11)-SUM(G12:G13)-G20</x:f>
        <x:v>218.54759333495397</x:v>
      </x:c>
      <x:c r="H14" s="4"/>
      <x:c r="I14" s="4"/>
      <x:c r="J14" s="4"/>
      <x:c r="K14" s="4"/>
      <x:c r="L14" s="4"/>
    </x:row>
    <x:row r="15" ht="19" customHeight="1">
      <x:c r="A15" s="1" t="str">
        <x:v>Year-end discount period</x:v>
      </x:c>
      <x:c r="B15" s="1"/>
      <x:c r="C15" s="4" t="n">
        <x:f>1</x:f>
        <x:v>1</x:v>
      </x:c>
      <x:c r="D15" s="4" t="n">
        <x:f>C15+1</x:f>
        <x:v>2</x:v>
      </x:c>
      <x:c r="E15" s="4" t="n">
        <x:f>D15+1</x:f>
        <x:v>3</x:v>
      </x:c>
      <x:c r="F15" s="4" t="n">
        <x:f>E15+1</x:f>
        <x:v>4</x:v>
      </x:c>
      <x:c r="G15" s="4" t="n">
        <x:f>F15+1</x:f>
        <x:v>5</x:v>
      </x:c>
      <x:c r="H15" s="4"/>
      <x:c r="I15" s="4"/>
      <x:c r="J15" s="4"/>
      <x:c r="K15" s="4"/>
      <x:c r="L15" s="4"/>
    </x:row>
    <x:row r="16" ht="19" customHeight="1">
      <x:c r="A16" s="1" t="str">
        <x:v>Discount factor</x:v>
      </x:c>
      <x:c r="B16" s="1"/>
      <x:c r="C16" s="68" t="n">
        <x:f>1/(1+$C$22)^C15</x:f>
        <x:v>0.8888888888888888</x:v>
      </x:c>
      <x:c r="D16" s="68" t="n">
        <x:f>1/(1+$C$22)^D15</x:f>
        <x:v>0.7901234567901234</x:v>
      </x:c>
      <x:c r="E16" s="68" t="n">
        <x:f>1/(1+$C$22)^E15</x:f>
        <x:v>0.7023319615912208</x:v>
      </x:c>
      <x:c r="F16" s="68" t="n">
        <x:f>1/(1+$C$22)^F15</x:f>
        <x:v>0.6242950769699741</x:v>
      </x:c>
      <x:c r="G16" s="68" t="n">
        <x:f>1/(1+$C$22)^G15</x:f>
        <x:v>0.5549289573066436</x:v>
      </x:c>
      <x:c r="H16" s="4"/>
      <x:c r="I16" s="4"/>
      <x:c r="J16" s="4"/>
      <x:c r="K16" s="4"/>
      <x:c r="L16" s="4"/>
    </x:row>
    <x:row r="17" ht="19" customHeight="1">
      <x:c r="A17" s="74" t="str">
        <x:v>Present value of cash flow</x:v>
      </x:c>
      <x:c r="B17" s="74"/>
      <x:c r="C17" s="78" t="n">
        <x:f>C14*C16</x:f>
        <x:v>-26.142317467275433</x:v>
      </x:c>
      <x:c r="D17" s="78" t="n">
        <x:f>D14*D16</x:f>
        <x:v>14.099032553356945</x:v>
      </x:c>
      <x:c r="E17" s="78" t="n">
        <x:f>E14*E16</x:f>
        <x:v>102.0846601449781</x:v>
      </x:c>
      <x:c r="F17" s="78" t="n">
        <x:f>F14*F16</x:f>
        <x:v>117.73896298523077</x:v>
      </x:c>
      <x:c r="G17" s="78" t="n">
        <x:f>G14*G16</x:f>
        <x:v>121.27838809124238</x:v>
      </x:c>
      <x:c r="H17" s="4"/>
      <x:c r="I17" s="4"/>
      <x:c r="J17" s="4"/>
      <x:c r="K17" s="4"/>
      <x:c r="L17" s="4"/>
    </x:row>
    <x:row r="18" ht="19" customHeight="1">
      <x:c r="A18" s="1"/>
      <x:c r="B18" s="1"/>
      <x:c r="C18" s="4"/>
      <x:c r="D18" s="4"/>
      <x:c r="E18" s="4"/>
      <x:c r="F18" s="4"/>
      <x:c r="G18" s="4"/>
      <x:c r="H18" s="4"/>
      <x:c r="I18" s="4"/>
      <x:c r="J18" s="4"/>
      <x:c r="K18" s="4"/>
      <x:c r="L18" s="4"/>
    </x:row>
    <x:row r="19" ht="19" customHeight="1">
      <x:c r="A19" s="1" t="str">
        <x:v>Required operating cash</x:v>
      </x:c>
      <x:c r="B19" s="1"/>
      <x:c r="C19" s="26" t="n">
        <x:f>'06_Schedules'!H56</x:f>
        <x:v>87.85532</x:v>
      </x:c>
      <x:c r="D19" s="26" t="n">
        <x:f>'06_Schedules'!I56</x:f>
        <x:v>97.54280200000004</x:v>
      </x:c>
      <x:c r="E19" s="26" t="n">
        <x:f>'06_Schedules'!J56</x:f>
        <x:v>107.56634518000003</x:v>
      </x:c>
      <x:c r="F19" s="26" t="n">
        <x:f>'06_Schedules'!K56</x:f>
        <x:v>117.12591589440004</x:v>
      </x:c>
      <x:c r="G19" s="26" t="n">
        <x:f>'06_Schedules'!L56</x:f>
        <x:v>126.12631101100806</x:v>
      </x:c>
      <x:c r="H19" s="4"/>
      <x:c r="I19" s="4"/>
      <x:c r="J19" s="4"/>
      <x:c r="K19" s="4"/>
      <x:c r="L19" s="4"/>
    </x:row>
    <x:row r="20" ht="19" customHeight="1">
      <x:c r="A20" s="1" t="str">
        <x:v>Increase in required operating cash</x:v>
      </x:c>
      <x:c r="B20" s="1"/>
      <x:c r="C20" s="4" t="n">
        <x:f>C19-$C$39</x:f>
        <x:v>7.039320000000004</x:v>
      </x:c>
      <x:c r="D20" s="4" t="n">
        <x:f>D19-C19</x:f>
        <x:v>9.687482000000031</x:v>
      </x:c>
      <x:c r="E20" s="4" t="n">
        <x:f>E19-D19</x:f>
        <x:v>10.02354317999999</x:v>
      </x:c>
      <x:c r="F20" s="4" t="n">
        <x:f>F19-E19</x:f>
        <x:v>9.55957071440001</x:v>
      </x:c>
      <x:c r="G20" s="4" t="n">
        <x:f>G19-F19</x:f>
        <x:v>9.000395116608018</x:v>
      </x:c>
      <x:c r="H20" s="4"/>
      <x:c r="I20" s="4"/>
      <x:c r="J20" s="4"/>
      <x:c r="K20" s="4"/>
      <x:c r="L20" s="4"/>
    </x:row>
    <x:row r="21" ht="19" customHeight="1">
      <x:c r="A21" s="94" t="str">
        <x:v>Enterprise to equity value</x:v>
      </x:c>
      <x:c r="B21" s="94"/>
      <x:c r="C21" s="95"/>
      <x:c r="D21" s="95"/>
      <x:c r="E21" s="95"/>
      <x:c r="F21" s="95"/>
      <x:c r="G21" s="95"/>
      <x:c r="H21" s="4"/>
      <x:c r="I21" s="4"/>
      <x:c r="J21" s="4"/>
      <x:c r="K21" s="4"/>
      <x:c r="L21" s="4"/>
    </x:row>
    <x:row r="22" ht="19" customHeight="1">
      <x:c r="A22" s="1" t="str">
        <x:v>WACC</x:v>
      </x:c>
      <x:c r="B22" s="1"/>
      <x:c r="C22" s="28" t="n">
        <x:f>'05_Assumptions'!$G$33</x:f>
        <x:v>0.125</x:v>
      </x:c>
      <x:c r="D22" s="4"/>
      <x:c r="E22" s="4"/>
      <x:c r="F22" s="4"/>
      <x:c r="G22" s="4"/>
      <x:c r="H22" s="4"/>
      <x:c r="I22" s="4"/>
      <x:c r="J22" s="4"/>
      <x:c r="K22" s="4"/>
      <x:c r="L22" s="4"/>
    </x:row>
    <x:row r="23" ht="19" customHeight="1">
      <x:c r="A23" s="1" t="str">
        <x:v>Terminal growth</x:v>
      </x:c>
      <x:c r="B23" s="1"/>
      <x:c r="C23" s="28" t="n">
        <x:f>'05_Assumptions'!$G$34</x:f>
        <x:v>0.04</x:v>
      </x:c>
      <x:c r="D23" s="4"/>
      <x:c r="E23" s="4"/>
      <x:c r="F23" s="4"/>
      <x:c r="G23" s="4"/>
      <x:c r="H23" s="4"/>
      <x:c r="I23" s="4"/>
      <x:c r="J23" s="4"/>
      <x:c r="K23" s="4"/>
      <x:c r="L23" s="4"/>
    </x:row>
    <x:row r="24" ht="19" customHeight="1">
      <x:c r="A24" s="1" t="str">
        <x:v>PV of forecast cash flows</x:v>
      </x:c>
      <x:c r="B24" s="1"/>
      <x:c r="C24" s="4" t="n">
        <x:f>SUM(C17:G17)</x:f>
        <x:v>329.05872630753277</x:v>
      </x:c>
      <x:c r="D24" s="4"/>
      <x:c r="E24" s="4"/>
      <x:c r="F24" s="4"/>
      <x:c r="G24" s="4"/>
      <x:c r="H24" s="4"/>
      <x:c r="I24" s="4"/>
      <x:c r="J24" s="4"/>
      <x:c r="K24" s="4"/>
      <x:c r="L24" s="4"/>
    </x:row>
    <x:row r="25" ht="19" customHeight="1">
      <x:c r="A25" s="1" t="str">
        <x:v>Terminal-year NOPAT</x:v>
      </x:c>
      <x:c r="B25" s="1"/>
      <x:c r="C25" s="4" t="n">
        <x:f>G10*(1+C23)</x:f>
        <x:v>446.94596576802354</x:v>
      </x:c>
      <x:c r="D25" s="4"/>
      <x:c r="E25" s="4"/>
      <x:c r="F25" s="4"/>
      <x:c r="G25" s="4"/>
      <x:c r="H25" s="4"/>
      <x:c r="I25" s="4"/>
      <x:c r="J25" s="4"/>
      <x:c r="K25" s="4"/>
      <x:c r="L25" s="4"/>
    </x:row>
    <x:row r="26" ht="19" customHeight="1">
      <x:c r="A26" s="1" t="str">
        <x:v>Terminal reinvestment rate (g / ROIC)</x:v>
      </x:c>
      <x:c r="B26" s="1"/>
      <x:c r="C26" s="27" t="n">
        <x:f>C23/C38</x:f>
        <x:v>0.33333333333333337</x:v>
      </x:c>
      <x:c r="D26" s="4"/>
      <x:c r="E26" s="4"/>
      <x:c r="F26" s="4"/>
      <x:c r="G26" s="4"/>
      <x:c r="H26" s="4"/>
      <x:c r="I26" s="4"/>
      <x:c r="J26" s="4"/>
      <x:c r="K26" s="4"/>
      <x:c r="L26" s="4"/>
    </x:row>
    <x:row r="27" ht="19" customHeight="1">
      <x:c r="A27" s="1" t="str">
        <x:v>Terminal free cash flow</x:v>
      </x:c>
      <x:c r="B27" s="1"/>
      <x:c r="C27" s="4" t="n">
        <x:f>C25*(1-C26)</x:f>
        <x:v>297.96397717868234</x:v>
      </x:c>
      <x:c r="D27" s="4"/>
      <x:c r="E27" s="4"/>
      <x:c r="F27" s="4"/>
      <x:c r="G27" s="4"/>
      <x:c r="H27" s="4"/>
      <x:c r="I27" s="4"/>
      <x:c r="J27" s="4"/>
      <x:c r="K27" s="4"/>
      <x:c r="L27" s="4"/>
    </x:row>
    <x:row r="28" ht="19" customHeight="1">
      <x:c r="A28" s="1" t="str">
        <x:v>PV of terminal value</x:v>
      </x:c>
      <x:c r="B28" s="1"/>
      <x:c r="C28" s="4" t="n">
        <x:f>C27/(C22-C23)*G16</x:f>
        <x:v>1945.2804608318443</x:v>
      </x:c>
      <x:c r="D28" s="4"/>
      <x:c r="E28" s="4"/>
      <x:c r="F28" s="4"/>
      <x:c r="G28" s="4"/>
      <x:c r="H28" s="4"/>
      <x:c r="I28" s="4"/>
      <x:c r="J28" s="4"/>
      <x:c r="K28" s="4"/>
      <x:c r="L28" s="4"/>
    </x:row>
    <x:row r="29" ht="19" customHeight="1">
      <x:c r="A29" s="74" t="str">
        <x:v>Enterprise value</x:v>
      </x:c>
      <x:c r="B29" s="74"/>
      <x:c r="C29" s="78" t="n">
        <x:f>SUM(C24,C28)</x:f>
        <x:v>2274.339187139377</x:v>
      </x:c>
      <x:c r="D29" s="78"/>
      <x:c r="E29" s="78"/>
      <x:c r="F29" s="78"/>
      <x:c r="G29" s="78"/>
      <x:c r="H29" s="4"/>
      <x:c r="I29" s="4"/>
      <x:c r="J29" s="4"/>
      <x:c r="K29" s="4"/>
      <x:c r="L29" s="4"/>
    </x:row>
    <x:row r="30" ht="19" customHeight="1">
      <x:c r="A30" s="1" t="str">
        <x:v>Borrowings and lease liabilities</x:v>
      </x:c>
      <x:c r="B30" s="1"/>
      <x:c r="C30" s="26" t="n">
        <x:f>SUM('02_Raw_Financials'!G39:'02_Raw_Financials'!G42)</x:f>
        <x:v>379.1599999999999</x:v>
      </x:c>
      <x:c r="D30" s="4"/>
      <x:c r="E30" s="4"/>
      <x:c r="F30" s="4"/>
      <x:c r="G30" s="4"/>
      <x:c r="H30" s="4"/>
      <x:c r="I30" s="4"/>
      <x:c r="J30" s="4"/>
      <x:c r="K30" s="4"/>
      <x:c r="L30" s="4"/>
    </x:row>
    <x:row r="31" ht="19" customHeight="1">
      <x:c r="A31" s="1" t="str">
        <x:v>Excess cash and current investments</x:v>
      </x:c>
      <x:c r="B31" s="1"/>
      <x:c r="C31" s="26" t="n">
        <x:f>MAX(0,'02_Raw_Financials'!G29-C39)+'02_Raw_Financials'!G30</x:f>
        <x:v>43.944</x:v>
      </x:c>
      <x:c r="D31" s="4"/>
      <x:c r="E31" s="4"/>
      <x:c r="F31" s="4"/>
      <x:c r="G31" s="4"/>
      <x:c r="H31" s="4"/>
      <x:c r="I31" s="4"/>
      <x:c r="J31" s="4"/>
      <x:c r="K31" s="4"/>
      <x:c r="L31" s="4"/>
    </x:row>
    <x:row r="32" ht="19" customHeight="1">
      <x:c r="A32" s="1" t="str">
        <x:v>Non-controlling interests</x:v>
      </x:c>
      <x:c r="B32" s="1"/>
      <x:c r="C32" s="26" t="n">
        <x:f>'02_Raw_Financials'!G38</x:f>
        <x:v>0</x:v>
      </x:c>
      <x:c r="D32" s="4"/>
      <x:c r="E32" s="4"/>
      <x:c r="F32" s="4"/>
      <x:c r="G32" s="4"/>
      <x:c r="H32" s="4"/>
      <x:c r="I32" s="4"/>
      <x:c r="J32" s="4"/>
      <x:c r="K32" s="4"/>
      <x:c r="L32" s="4"/>
    </x:row>
    <x:row r="33" ht="19" customHeight="1">
      <x:c r="A33" s="74" t="str">
        <x:v>Equity value</x:v>
      </x:c>
      <x:c r="B33" s="74"/>
      <x:c r="C33" s="78" t="n">
        <x:f>C29-C30+C31-C32</x:f>
        <x:v>1939.123187139377</x:v>
      </x:c>
      <x:c r="D33" s="78"/>
      <x:c r="E33" s="78"/>
      <x:c r="F33" s="78"/>
      <x:c r="G33" s="78"/>
      <x:c r="H33" s="4"/>
      <x:c r="I33" s="4"/>
      <x:c r="J33" s="4"/>
      <x:c r="K33" s="4"/>
      <x:c r="L33" s="4"/>
    </x:row>
    <x:row r="34" ht="19" customHeight="1">
      <x:c r="A34" s="1" t="str">
        <x:v>Shares outstanding (crore)</x:v>
      </x:c>
      <x:c r="B34" s="1"/>
      <x:c r="C34" s="26" t="n">
        <x:f>'02_Raw_Financials'!G59</x:f>
        <x:v>12.1881498</x:v>
      </x:c>
      <x:c r="D34" s="4"/>
      <x:c r="E34" s="4"/>
      <x:c r="F34" s="4"/>
      <x:c r="G34" s="4"/>
      <x:c r="H34" s="4"/>
      <x:c r="I34" s="4"/>
      <x:c r="J34" s="4"/>
      <x:c r="K34" s="4"/>
      <x:c r="L34" s="4"/>
    </x:row>
    <x:row r="35" ht="19" customHeight="1">
      <x:c r="A35" s="74" t="str">
        <x:v>Implied value per share (INR)</x:v>
      </x:c>
      <x:c r="B35" s="74"/>
      <x:c r="C35" s="82" t="n">
        <x:f>C33/C34</x:f>
        <x:v>159.09906088776305</x:v>
      </x:c>
      <x:c r="D35" s="78"/>
      <x:c r="E35" s="78"/>
      <x:c r="F35" s="78"/>
      <x:c r="G35" s="78"/>
      <x:c r="H35" s="4"/>
      <x:c r="I35" s="4"/>
      <x:c r="J35" s="4"/>
      <x:c r="K35" s="4"/>
      <x:c r="L35" s="4"/>
    </x:row>
    <x:row r="36" ht="19" customHeight="1">
      <x:c r="A36" s="1" t="str">
        <x:v>Reference share price (INR)</x:v>
      </x:c>
      <x:c r="B36" s="1"/>
      <x:c r="C36" s="67" t="n">
        <x:f>'05_Assumptions'!$G$36</x:f>
        <x:v>766.75</x:v>
      </x:c>
      <x:c r="D36" s="4"/>
      <x:c r="E36" s="4"/>
      <x:c r="F36" s="4"/>
      <x:c r="G36" s="4"/>
      <x:c r="H36" s="4"/>
      <x:c r="I36" s="4"/>
      <x:c r="J36" s="4"/>
      <x:c r="K36" s="4"/>
      <x:c r="L36" s="4"/>
    </x:row>
    <x:row r="37" ht="19" customHeight="1">
      <x:c r="A37" s="1" t="str">
        <x:v>Value / reference price less one</x:v>
      </x:c>
      <x:c r="B37" s="1"/>
      <x:c r="C37" s="27" t="n">
        <x:f>C35/C36-1</x:f>
        <x:v>-0.7925020399246651</x:v>
      </x:c>
      <x:c r="D37" s="4"/>
      <x:c r="E37" s="4"/>
      <x:c r="F37" s="4"/>
      <x:c r="G37" s="4"/>
      <x:c r="H37" s="4"/>
      <x:c r="I37" s="4"/>
      <x:c r="J37" s="4"/>
      <x:c r="K37" s="4"/>
      <x:c r="L37" s="4"/>
    </x:row>
    <x:row r="38" ht="19" customHeight="1">
      <x:c r="A38" s="1" t="str">
        <x:v>Terminal return on invested capital</x:v>
      </x:c>
      <x:c r="B38" s="1"/>
      <x:c r="C38" s="28" t="n">
        <x:f>'05_Assumptions'!$G$35</x:f>
        <x:v>0.12</x:v>
      </x:c>
      <x:c r="D38" s="4"/>
      <x:c r="E38" s="4"/>
      <x:c r="F38" s="4"/>
      <x:c r="G38" s="4"/>
      <x:c r="H38" s="4"/>
      <x:c r="I38" s="4"/>
      <x:c r="J38" s="4"/>
      <x:c r="K38" s="4"/>
      <x:c r="L38" s="4"/>
    </x:row>
    <x:row r="39" ht="19" customHeight="1">
      <x:c r="A39" s="1" t="str">
        <x:v>Operating cash retained at valuation</x:v>
      </x:c>
      <x:c r="B39" s="1"/>
      <x:c r="C39" s="26" t="n">
        <x:f>'02_Raw_Financials'!G8*'05_Assumptions'!H22</x:f>
        <x:v>80.816</x:v>
      </x:c>
      <x:c r="D39" s="4"/>
      <x:c r="E39" s="4"/>
      <x:c r="F39" s="4"/>
      <x:c r="G39" s="4"/>
      <x:c r="H39" s="4"/>
      <x:c r="I39" s="4"/>
      <x:c r="J39" s="4"/>
      <x:c r="K39" s="4"/>
      <x:c r="L39" s="4"/>
    </x:row>
    <x:row r="40" ht="19" customHeight="1">
      <x:c r="A40" s="1"/>
      <x:c r="B40" s="1"/>
      <x:c r="C40" s="4"/>
      <x:c r="D40" s="4"/>
      <x:c r="E40" s="4"/>
      <x:c r="F40" s="4"/>
      <x:c r="G40" s="4"/>
      <x:c r="H40" s="4"/>
      <x:c r="I40" s="4"/>
      <x:c r="J40" s="4"/>
      <x:c r="K40" s="4"/>
      <x:c r="L40" s="4"/>
    </x:row>
    <x:row r="41" ht="19" customHeight="1">
      <x:c r="A41" s="1"/>
      <x:c r="B41" s="1"/>
      <x:c r="C41" s="4"/>
      <x:c r="D41" s="4"/>
      <x:c r="E41" s="4"/>
      <x:c r="F41" s="4"/>
      <x:c r="G41" s="4"/>
      <x:c r="H41" s="4"/>
      <x:c r="I41" s="4"/>
      <x:c r="J41" s="4"/>
      <x:c r="K41" s="4"/>
      <x:c r="L41" s="4"/>
    </x:row>
    <x:row r="42" ht="32" customHeight="1">
      <x:c r="A42" s="62" t="str">
        <x:v>Year-end discounting from 31 March 2026. Terminal cash flow funds reinvestment at growth / terminal ROIC. Lease additions are capital expenditure.</x:v>
      </x:c>
      <x:c r="B42" s="62"/>
      <x:c r="C42" s="63"/>
      <x:c r="D42" s="63"/>
      <x:c r="E42" s="63"/>
      <x:c r="F42" s="63"/>
      <x:c r="G42" s="63"/>
      <x:c r="H42" s="4"/>
      <x:c r="I42" s="4"/>
      <x:c r="J42" s="4"/>
      <x:c r="K42" s="4"/>
      <x:c r="L42" s="4"/>
    </x:row>
    <x:row r="43" ht="19" customHeight="1">
      <x:c r="A43" s="1"/>
      <x:c r="B43" s="1"/>
      <x:c r="C43" s="4"/>
      <x:c r="D43" s="4"/>
      <x:c r="E43" s="4"/>
      <x:c r="F43" s="4"/>
      <x:c r="G43" s="4"/>
      <x:c r="H43" s="4"/>
      <x:c r="I43" s="4"/>
      <x:c r="J43" s="4"/>
      <x:c r="K43" s="4"/>
      <x:c r="L43" s="4"/>
    </x:row>
    <x:row r="44" ht="32" customHeight="1">
      <x:c r="A44" s="62" t="str">
        <x:v>FCFF funds increases in required operating cash. Terminal reinvestment covers all operating capital. Other bank balances and non-current investments are excluded.</x:v>
      </x:c>
      <x:c r="B44" s="62"/>
      <x:c r="C44" s="63"/>
      <x:c r="D44" s="63"/>
      <x:c r="E44" s="63"/>
      <x:c r="F44" s="63"/>
      <x:c r="G44" s="63"/>
      <x:c r="H44" s="4"/>
      <x:c r="I44" s="4"/>
      <x:c r="J44" s="4"/>
      <x:c r="K44" s="4"/>
      <x:c r="L44" s="4"/>
    </x:row>
    <x:row r="45" ht="19" customHeight="1">
      <x:c r="A45" s="1"/>
      <x:c r="B45" s="1"/>
      <x:c r="C45" s="4"/>
      <x:c r="D45" s="4"/>
      <x:c r="E45" s="4"/>
      <x:c r="F45" s="4"/>
      <x:c r="G45" s="4"/>
      <x:c r="H45" s="4"/>
      <x:c r="I45" s="4"/>
      <x:c r="J45" s="4"/>
      <x:c r="K45" s="4"/>
      <x:c r="L45" s="4"/>
    </x:row>
    <x:row r="46" ht="32" customHeight="1">
      <x:c r="A46" s="62" t="str">
        <x:v>The undated Screener price is a reference input. The DCF uses FY2026 net debt and subsequent guidance; it is not a current-price recommendation.</x:v>
      </x:c>
      <x:c r="B46" s="62"/>
      <x:c r="C46" s="63"/>
      <x:c r="D46" s="63"/>
      <x:c r="E46" s="63"/>
      <x:c r="F46" s="63"/>
      <x:c r="G46" s="63"/>
      <x:c r="H46" s="4"/>
      <x:c r="I46" s="4"/>
      <x:c r="J46" s="4"/>
      <x:c r="K46" s="4"/>
      <x:c r="L46" s="4"/>
    </x:row>
    <x:row r="47" ht="19" customHeight="1">
      <x:c r="A47" s="1"/>
      <x:c r="B47" s="1"/>
      <x:c r="C47" s="4"/>
      <x:c r="D47" s="4"/>
      <x:c r="E47" s="4"/>
      <x:c r="F47" s="4"/>
      <x:c r="G47" s="4"/>
      <x:c r="H47" s="4"/>
      <x:c r="I47" s="4"/>
      <x:c r="J47" s="4"/>
      <x:c r="K47" s="4"/>
      <x:c r="L47" s="4"/>
    </x:row>
    <x:row r="48" ht="19" customHeight="1">
      <x:c r="A48" s="1"/>
      <x:c r="B48" s="1"/>
      <x:c r="C48" s="4"/>
      <x:c r="D48" s="4"/>
      <x:c r="E48" s="4"/>
      <x:c r="F48" s="4"/>
      <x:c r="G48" s="4"/>
      <x:c r="H48" s="4"/>
      <x:c r="I48" s="4"/>
      <x:c r="J48" s="4"/>
      <x:c r="K48" s="4"/>
      <x:c r="L48" s="4"/>
    </x:row>
    <x:row r="49" ht="19" customHeight="1">
      <x:c r="A49" s="1"/>
      <x:c r="B49" s="1"/>
      <x:c r="C49" s="4"/>
      <x:c r="D49" s="4"/>
      <x:c r="E49" s="4"/>
      <x:c r="F49" s="4"/>
      <x:c r="G49" s="4"/>
      <x:c r="H49" s="4"/>
      <x:c r="I49" s="4"/>
      <x:c r="J49" s="4"/>
      <x:c r="K49" s="4"/>
      <x:c r="L49" s="4"/>
    </x:row>
    <x:row r="50" ht="19" customHeight="1">
      <x:c r="A50" s="1"/>
      <x:c r="B50" s="1"/>
      <x:c r="C50" s="4"/>
      <x:c r="D50" s="4"/>
      <x:c r="E50" s="4"/>
      <x:c r="F50" s="4"/>
      <x:c r="G50" s="4"/>
      <x:c r="H50" s="4"/>
      <x:c r="I50" s="4"/>
      <x:c r="J50" s="4"/>
      <x:c r="K50" s="4"/>
      <x:c r="L50" s="4"/>
    </x:row>
    <x:row r="51" ht="19" customHeight="1">
      <x:c r="A51" s="1"/>
      <x:c r="B51" s="1"/>
      <x:c r="C51" s="4"/>
      <x:c r="D51" s="4"/>
      <x:c r="E51" s="4"/>
      <x:c r="F51" s="4"/>
      <x:c r="G51" s="4"/>
      <x:c r="H51" s="4"/>
      <x:c r="I51" s="4"/>
      <x:c r="J51" s="4"/>
      <x:c r="K51" s="4"/>
      <x:c r="L51" s="4"/>
    </x:row>
    <x:row r="52" ht="19" customHeight="1">
      <x:c r="A52" s="1"/>
      <x:c r="B52" s="1"/>
      <x:c r="C52" s="4"/>
      <x:c r="D52" s="4"/>
      <x:c r="E52" s="4"/>
      <x:c r="F52" s="4"/>
      <x:c r="G52" s="4"/>
      <x:c r="H52" s="4"/>
      <x:c r="I52" s="4"/>
      <x:c r="J52" s="4"/>
      <x:c r="K52" s="4"/>
      <x:c r="L52" s="4"/>
    </x:row>
    <x:row r="53" ht="19" customHeight="1">
      <x:c r="A53" s="1"/>
      <x:c r="B53" s="1"/>
      <x:c r="C53" s="4"/>
      <x:c r="D53" s="4"/>
      <x:c r="E53" s="4"/>
      <x:c r="F53" s="4"/>
      <x:c r="G53" s="4"/>
      <x:c r="H53" s="4"/>
      <x:c r="I53" s="4"/>
      <x:c r="J53" s="4"/>
      <x:c r="K53" s="4"/>
      <x:c r="L53" s="4"/>
    </x:row>
    <x:row r="54" ht="19" customHeight="1">
      <x:c r="A54" s="1"/>
      <x:c r="B54" s="1"/>
      <x:c r="C54" s="4"/>
      <x:c r="D54" s="4"/>
      <x:c r="E54" s="4"/>
      <x:c r="F54" s="4"/>
      <x:c r="G54" s="4"/>
      <x:c r="H54" s="4"/>
      <x:c r="I54" s="4"/>
      <x:c r="J54" s="4"/>
      <x:c r="K54" s="4"/>
      <x:c r="L54" s="4"/>
    </x:row>
    <x:row r="55" ht="19" customHeight="1">
      <x:c r="A55" s="1"/>
      <x:c r="B55" s="1"/>
      <x:c r="C55" s="4"/>
      <x:c r="D55" s="4"/>
      <x:c r="E55" s="4"/>
      <x:c r="F55" s="4"/>
      <x:c r="G55" s="4"/>
      <x:c r="H55" s="4"/>
      <x:c r="I55" s="4"/>
      <x:c r="J55" s="4"/>
      <x:c r="K55" s="4"/>
      <x:c r="L55" s="4"/>
    </x:row>
    <x:row r="56" ht="19" customHeight="1">
      <x:c r="A56" s="1"/>
      <x:c r="B56" s="1"/>
      <x:c r="C56" s="4"/>
      <x:c r="D56" s="4"/>
      <x:c r="E56" s="4"/>
      <x:c r="F56" s="4"/>
      <x:c r="G56" s="4"/>
      <x:c r="H56" s="4"/>
      <x:c r="I56" s="4"/>
      <x:c r="J56" s="4"/>
      <x:c r="K56" s="4"/>
      <x:c r="L56" s="4"/>
    </x:row>
    <x:row r="57" ht="19" customHeight="1">
      <x:c r="A57" s="1"/>
      <x:c r="B57" s="1"/>
      <x:c r="C57" s="4"/>
      <x:c r="D57" s="4"/>
      <x:c r="E57" s="4"/>
      <x:c r="F57" s="4"/>
      <x:c r="G57" s="4"/>
      <x:c r="H57" s="4"/>
      <x:c r="I57" s="4"/>
      <x:c r="J57" s="4"/>
      <x:c r="K57" s="4"/>
      <x:c r="L57" s="4"/>
    </x:row>
    <x:row r="58" ht="19" customHeight="1">
      <x:c r="A58" s="1"/>
      <x:c r="B58" s="1"/>
      <x:c r="C58" s="4"/>
      <x:c r="D58" s="4"/>
      <x:c r="E58" s="4"/>
      <x:c r="F58" s="4"/>
      <x:c r="G58" s="4"/>
      <x:c r="H58" s="4"/>
      <x:c r="I58" s="4"/>
      <x:c r="J58" s="4"/>
      <x:c r="K58" s="4"/>
      <x:c r="L58" s="4"/>
    </x:row>
    <x:row r="59" ht="19" customHeight="1">
      <x:c r="A59" s="1"/>
      <x:c r="B59" s="1"/>
      <x:c r="C59" s="4"/>
      <x:c r="D59" s="4"/>
      <x:c r="E59" s="4"/>
      <x:c r="F59" s="4"/>
      <x:c r="G59" s="4"/>
      <x:c r="H59" s="4"/>
      <x:c r="I59" s="4"/>
      <x:c r="J59" s="4"/>
      <x:c r="K59" s="4"/>
      <x:c r="L59" s="4"/>
    </x:row>
    <x:row r="60" ht="19" customHeight="1">
      <x:c r="A60" s="1"/>
      <x:c r="B60" s="1"/>
      <x:c r="C60" s="4"/>
      <x:c r="D60" s="4"/>
      <x:c r="E60" s="4"/>
      <x:c r="F60" s="4"/>
      <x:c r="G60" s="4"/>
      <x:c r="H60" s="4"/>
      <x:c r="I60" s="4"/>
      <x:c r="J60" s="4"/>
      <x:c r="K60" s="4"/>
      <x:c r="L60" s="4"/>
    </x:row>
    <x:row r="61" ht="19" customHeight="1">
      <x:c r="A61" s="1"/>
      <x:c r="B61" s="1"/>
      <x:c r="C61" s="4"/>
      <x:c r="D61" s="4"/>
      <x:c r="E61" s="4"/>
      <x:c r="F61" s="4"/>
      <x:c r="G61" s="4"/>
      <x:c r="H61" s="4"/>
      <x:c r="I61" s="4"/>
      <x:c r="J61" s="4"/>
      <x:c r="K61" s="4"/>
      <x:c r="L61" s="4"/>
    </x:row>
    <x:row r="62" ht="19" customHeight="1">
      <x:c r="A62" s="1"/>
      <x:c r="B62" s="1"/>
      <x:c r="C62" s="4"/>
      <x:c r="D62" s="4"/>
      <x:c r="E62" s="4"/>
      <x:c r="F62" s="4"/>
      <x:c r="G62" s="4"/>
      <x:c r="H62" s="4"/>
      <x:c r="I62" s="4"/>
      <x:c r="J62" s="4"/>
      <x:c r="K62" s="4"/>
      <x:c r="L62" s="4"/>
    </x:row>
    <x:row r="63" ht="19" customHeight="1">
      <x:c r="A63" s="1"/>
      <x:c r="B63" s="1"/>
      <x:c r="C63" s="4"/>
      <x:c r="D63" s="4"/>
      <x:c r="E63" s="4"/>
      <x:c r="F63" s="4"/>
      <x:c r="G63" s="4"/>
      <x:c r="H63" s="4"/>
      <x:c r="I63" s="4"/>
      <x:c r="J63" s="4"/>
      <x:c r="K63" s="4"/>
      <x:c r="L63" s="4"/>
    </x:row>
    <x:row r="64" ht="19" customHeight="1">
      <x:c r="A64" s="1"/>
      <x:c r="B64" s="1"/>
      <x:c r="C64" s="4"/>
      <x:c r="D64" s="4"/>
      <x:c r="E64" s="4"/>
      <x:c r="F64" s="4"/>
      <x:c r="G64" s="4"/>
      <x:c r="H64" s="4"/>
      <x:c r="I64" s="4"/>
      <x:c r="J64" s="4"/>
      <x:c r="K64" s="4"/>
      <x:c r="L64" s="4"/>
    </x:row>
    <x:row r="65" ht="19" customHeight="1">
      <x:c r="A65" s="1"/>
      <x:c r="B65" s="1"/>
      <x:c r="C65" s="4"/>
      <x:c r="D65" s="4"/>
      <x:c r="E65" s="4"/>
      <x:c r="F65" s="4"/>
      <x:c r="G65" s="4"/>
      <x:c r="H65" s="4"/>
      <x:c r="I65" s="4"/>
      <x:c r="J65" s="4"/>
      <x:c r="K65" s="4"/>
      <x:c r="L65" s="4"/>
    </x:row>
    <x:row r="66" ht="19" customHeight="1">
      <x:c r="A66" s="1"/>
      <x:c r="B66" s="1"/>
      <x:c r="C66" s="4"/>
      <x:c r="D66" s="4"/>
      <x:c r="E66" s="4"/>
      <x:c r="F66" s="4"/>
      <x:c r="G66" s="4"/>
      <x:c r="H66" s="4"/>
      <x:c r="I66" s="4"/>
      <x:c r="J66" s="4"/>
      <x:c r="K66" s="4"/>
      <x:c r="L66" s="4"/>
    </x:row>
    <x:row r="67" ht="19" customHeight="1">
      <x:c r="A67" s="1"/>
      <x:c r="B67" s="1"/>
      <x:c r="C67" s="4"/>
      <x:c r="D67" s="4"/>
      <x:c r="E67" s="4"/>
      <x:c r="F67" s="4"/>
      <x:c r="G67" s="4"/>
      <x:c r="H67" s="4"/>
      <x:c r="I67" s="4"/>
      <x:c r="J67" s="4"/>
      <x:c r="K67" s="4"/>
      <x:c r="L67" s="4"/>
    </x:row>
    <x:row r="68" ht="19" customHeight="1">
      <x:c r="A68" s="1"/>
      <x:c r="B68" s="1"/>
      <x:c r="C68" s="4"/>
      <x:c r="D68" s="4"/>
      <x:c r="E68" s="4"/>
      <x:c r="F68" s="4"/>
      <x:c r="G68" s="4"/>
      <x:c r="H68" s="4"/>
      <x:c r="I68" s="4"/>
      <x:c r="J68" s="4"/>
      <x:c r="K68" s="4"/>
      <x:c r="L68" s="4"/>
    </x:row>
    <x:row r="69" ht="19" customHeight="1">
      <x:c r="A69" s="1"/>
      <x:c r="B69" s="1"/>
      <x:c r="C69" s="4"/>
      <x:c r="D69" s="4"/>
      <x:c r="E69" s="4"/>
      <x:c r="F69" s="4"/>
      <x:c r="G69" s="4"/>
      <x:c r="H69" s="4"/>
      <x:c r="I69" s="4"/>
      <x:c r="J69" s="4"/>
      <x:c r="K69" s="4"/>
      <x:c r="L69" s="4"/>
    </x:row>
    <x:row r="70" ht="19" customHeight="1">
      <x:c r="A70" s="1"/>
      <x:c r="B70" s="1"/>
      <x:c r="C70" s="4"/>
      <x:c r="D70" s="4"/>
      <x:c r="E70" s="4"/>
      <x:c r="F70" s="4"/>
      <x:c r="G70" s="4"/>
      <x:c r="H70" s="4"/>
      <x:c r="I70" s="4"/>
      <x:c r="J70" s="4"/>
      <x:c r="K70" s="4"/>
      <x:c r="L70" s="4"/>
    </x:row>
    <x:row r="71" ht="19" customHeight="1">
      <x:c r="A71" s="1"/>
      <x:c r="B71" s="1"/>
      <x:c r="C71" s="4"/>
      <x:c r="D71" s="4"/>
      <x:c r="E71" s="4"/>
      <x:c r="F71" s="4"/>
      <x:c r="G71" s="4"/>
      <x:c r="H71" s="4"/>
      <x:c r="I71" s="4"/>
      <x:c r="J71" s="4"/>
      <x:c r="K71" s="4"/>
      <x:c r="L71" s="4"/>
    </x:row>
    <x:row r="72" ht="19" customHeight="1">
      <x:c r="A72" s="1"/>
      <x:c r="B72" s="1"/>
      <x:c r="C72" s="4"/>
      <x:c r="D72" s="4"/>
      <x:c r="E72" s="4"/>
      <x:c r="F72" s="4"/>
      <x:c r="G72" s="4"/>
      <x:c r="H72" s="4"/>
      <x:c r="I72" s="4"/>
      <x:c r="J72" s="4"/>
      <x:c r="K72" s="4"/>
      <x:c r="L72" s="4"/>
    </x:row>
    <x:row r="73" ht="19" customHeight="1">
      <x:c r="A73" s="1"/>
      <x:c r="B73" s="1"/>
      <x:c r="C73" s="4"/>
      <x:c r="D73" s="4"/>
      <x:c r="E73" s="4"/>
      <x:c r="F73" s="4"/>
      <x:c r="G73" s="4"/>
      <x:c r="H73" s="4"/>
      <x:c r="I73" s="4"/>
      <x:c r="J73" s="4"/>
      <x:c r="K73" s="4"/>
      <x:c r="L73" s="4"/>
    </x:row>
    <x:row r="74" ht="19" customHeight="1">
      <x:c r="A74" s="1"/>
      <x:c r="B74" s="1"/>
      <x:c r="C74" s="4"/>
      <x:c r="D74" s="4"/>
      <x:c r="E74" s="4"/>
      <x:c r="F74" s="4"/>
      <x:c r="G74" s="4"/>
      <x:c r="H74" s="4"/>
      <x:c r="I74" s="4"/>
      <x:c r="J74" s="4"/>
      <x:c r="K74" s="4"/>
      <x:c r="L74" s="4"/>
    </x:row>
    <x:row r="75" ht="19" customHeight="1">
      <x:c r="A75" s="1"/>
      <x:c r="B75" s="1"/>
      <x:c r="C75" s="4"/>
      <x:c r="D75" s="4"/>
      <x:c r="E75" s="4"/>
      <x:c r="F75" s="4"/>
      <x:c r="G75" s="4"/>
      <x:c r="H75" s="4"/>
      <x:c r="I75" s="4"/>
      <x:c r="J75" s="4"/>
      <x:c r="K75" s="4"/>
      <x:c r="L75" s="4"/>
    </x:row>
    <x:row r="76" ht="19" customHeight="1">
      <x:c r="A76" s="1"/>
      <x:c r="B76" s="1"/>
      <x:c r="C76" s="4"/>
      <x:c r="D76" s="4"/>
      <x:c r="E76" s="4"/>
      <x:c r="F76" s="4"/>
      <x:c r="G76" s="4"/>
      <x:c r="H76" s="4"/>
      <x:c r="I76" s="4"/>
      <x:c r="J76" s="4"/>
      <x:c r="K76" s="4"/>
      <x:c r="L76" s="4"/>
    </x:row>
    <x:row r="77" ht="19" customHeight="1">
      <x:c r="A77" s="1"/>
      <x:c r="B77" s="1"/>
      <x:c r="C77" s="4"/>
      <x:c r="D77" s="4"/>
      <x:c r="E77" s="4"/>
      <x:c r="F77" s="4"/>
      <x:c r="G77" s="4"/>
      <x:c r="H77" s="4"/>
      <x:c r="I77" s="4"/>
      <x:c r="J77" s="4"/>
      <x:c r="K77" s="4"/>
      <x:c r="L77" s="4"/>
    </x:row>
    <x:row r="78" ht="19" customHeight="1">
      <x:c r="A78" s="1"/>
      <x:c r="B78" s="1"/>
      <x:c r="C78" s="4"/>
      <x:c r="D78" s="4"/>
      <x:c r="E78" s="4"/>
      <x:c r="F78" s="4"/>
      <x:c r="G78" s="4"/>
      <x:c r="H78" s="4"/>
      <x:c r="I78" s="4"/>
      <x:c r="J78" s="4"/>
      <x:c r="K78" s="4"/>
      <x:c r="L78" s="4"/>
    </x:row>
    <x:row r="79" ht="19" customHeight="1">
      <x:c r="A79" s="1"/>
      <x:c r="B79" s="1"/>
      <x:c r="C79" s="4"/>
      <x:c r="D79" s="4"/>
      <x:c r="E79" s="4"/>
      <x:c r="F79" s="4"/>
      <x:c r="G79" s="4"/>
      <x:c r="H79" s="4"/>
      <x:c r="I79" s="4"/>
      <x:c r="J79" s="4"/>
      <x:c r="K79" s="4"/>
      <x:c r="L79" s="4"/>
    </x:row>
    <x:row r="80" ht="19" customHeight="1">
      <x:c r="A80" s="1"/>
      <x:c r="B80" s="1"/>
      <x:c r="C80" s="4"/>
      <x:c r="D80" s="4"/>
      <x:c r="E80" s="4"/>
      <x:c r="F80" s="4"/>
      <x:c r="G80" s="4"/>
      <x:c r="H80" s="4"/>
      <x:c r="I80" s="4"/>
      <x:c r="J80" s="4"/>
      <x:c r="K80" s="4"/>
      <x:c r="L80" s="4"/>
    </x:row>
    <x:row r="81" ht="19" customHeight="1">
      <x:c r="A81" s="1"/>
      <x:c r="B81" s="1"/>
      <x:c r="C81" s="4"/>
      <x:c r="D81" s="4"/>
      <x:c r="E81" s="4"/>
      <x:c r="F81" s="4"/>
      <x:c r="G81" s="4"/>
      <x:c r="H81" s="4"/>
      <x:c r="I81" s="4"/>
      <x:c r="J81" s="4"/>
      <x:c r="K81" s="4"/>
      <x:c r="L81" s="4"/>
    </x:row>
    <x:row r="82" ht="19" customHeight="1">
      <x:c r="A82" s="1"/>
      <x:c r="B82" s="1"/>
      <x:c r="C82" s="4"/>
      <x:c r="D82" s="4"/>
      <x:c r="E82" s="4"/>
      <x:c r="F82" s="4"/>
      <x:c r="G82" s="4"/>
      <x:c r="H82" s="4"/>
      <x:c r="I82" s="4"/>
      <x:c r="J82" s="4"/>
      <x:c r="K82" s="4"/>
      <x:c r="L82" s="4"/>
    </x:row>
    <x:row r="83" ht="19" customHeight="1">
      <x:c r="A83" s="1"/>
      <x:c r="B83" s="1"/>
      <x:c r="C83" s="4"/>
      <x:c r="D83" s="4"/>
      <x:c r="E83" s="4"/>
      <x:c r="F83" s="4"/>
      <x:c r="G83" s="4"/>
      <x:c r="H83" s="4"/>
      <x:c r="I83" s="4"/>
      <x:c r="J83" s="4"/>
      <x:c r="K83" s="4"/>
      <x:c r="L83" s="4"/>
    </x:row>
    <x:row r="84" ht="19" customHeight="1">
      <x:c r="A84" s="1"/>
      <x:c r="B84" s="1"/>
      <x:c r="C84" s="4"/>
      <x:c r="D84" s="4"/>
      <x:c r="E84" s="4"/>
      <x:c r="F84" s="4"/>
      <x:c r="G84" s="4"/>
      <x:c r="H84" s="4"/>
      <x:c r="I84" s="4"/>
      <x:c r="J84" s="4"/>
      <x:c r="K84" s="4"/>
      <x:c r="L84" s="4"/>
    </x:row>
    <x:row r="85" ht="19" customHeight="1">
      <x:c r="A85" s="1"/>
      <x:c r="B85" s="1"/>
      <x:c r="C85" s="4"/>
      <x:c r="D85" s="4"/>
      <x:c r="E85" s="4"/>
      <x:c r="F85" s="4"/>
      <x:c r="G85" s="4"/>
      <x:c r="H85" s="4"/>
      <x:c r="I85" s="4"/>
      <x:c r="J85" s="4"/>
      <x:c r="K85" s="4"/>
      <x:c r="L85" s="4"/>
    </x:row>
    <x:row r="86" ht="19" customHeight="1">
      <x:c r="A86" s="1"/>
      <x:c r="B86" s="1"/>
      <x:c r="C86" s="4"/>
      <x:c r="D86" s="4"/>
      <x:c r="E86" s="4"/>
      <x:c r="F86" s="4"/>
      <x:c r="G86" s="4"/>
      <x:c r="H86" s="4"/>
      <x:c r="I86" s="4"/>
      <x:c r="J86" s="4"/>
      <x:c r="K86" s="4"/>
      <x:c r="L86" s="4"/>
    </x:row>
    <x:row r="87" ht="19" customHeight="1">
      <x:c r="A87" s="1"/>
      <x:c r="B87" s="1"/>
      <x:c r="C87" s="4"/>
      <x:c r="D87" s="4"/>
      <x:c r="E87" s="4"/>
      <x:c r="F87" s="4"/>
      <x:c r="G87" s="4"/>
      <x:c r="H87" s="4"/>
      <x:c r="I87" s="4"/>
      <x:c r="J87" s="4"/>
      <x:c r="K87" s="4"/>
      <x:c r="L87" s="4"/>
    </x:row>
    <x:row r="88" ht="19" customHeight="1">
      <x:c r="A88" s="1"/>
      <x:c r="B88" s="1"/>
      <x:c r="C88" s="4"/>
      <x:c r="D88" s="4"/>
      <x:c r="E88" s="4"/>
      <x:c r="F88" s="4"/>
      <x:c r="G88" s="4"/>
      <x:c r="H88" s="4"/>
      <x:c r="I88" s="4"/>
      <x:c r="J88" s="4"/>
      <x:c r="K88" s="4"/>
      <x:c r="L88" s="4"/>
    </x:row>
    <x:row r="89" ht="19" customHeight="1">
      <x:c r="A89" s="1"/>
      <x:c r="B89" s="1"/>
      <x:c r="C89" s="4"/>
      <x:c r="D89" s="4"/>
      <x:c r="E89" s="4"/>
      <x:c r="F89" s="4"/>
      <x:c r="G89" s="4"/>
      <x:c r="H89" s="4"/>
      <x:c r="I89" s="4"/>
      <x:c r="J89" s="4"/>
      <x:c r="K89" s="4"/>
      <x:c r="L89" s="4"/>
    </x:row>
    <x:row r="90" ht="19" customHeight="1">
      <x:c r="A90" s="1"/>
      <x:c r="B90" s="1"/>
      <x:c r="C90" s="4"/>
      <x:c r="D90" s="4"/>
      <x:c r="E90" s="4"/>
      <x:c r="F90" s="4"/>
      <x:c r="G90" s="4"/>
      <x:c r="H90" s="4"/>
      <x:c r="I90" s="4"/>
      <x:c r="J90" s="4"/>
      <x:c r="K90" s="4"/>
      <x:c r="L90" s="4"/>
    </x:row>
    <x:row r="91" ht="19" customHeight="1">
      <x:c r="A91" s="1"/>
      <x:c r="B91" s="1"/>
      <x:c r="C91" s="4"/>
      <x:c r="D91" s="4"/>
      <x:c r="E91" s="4"/>
      <x:c r="F91" s="4"/>
      <x:c r="G91" s="4"/>
      <x:c r="H91" s="4"/>
      <x:c r="I91" s="4"/>
      <x:c r="J91" s="4"/>
      <x:c r="K91" s="4"/>
      <x:c r="L91" s="4"/>
    </x:row>
    <x:row r="92" ht="19" customHeight="1">
      <x:c r="A92" s="1"/>
      <x:c r="B92" s="1"/>
      <x:c r="C92" s="4"/>
      <x:c r="D92" s="4"/>
      <x:c r="E92" s="4"/>
      <x:c r="F92" s="4"/>
      <x:c r="G92" s="4"/>
      <x:c r="H92" s="4"/>
      <x:c r="I92" s="4"/>
      <x:c r="J92" s="4"/>
      <x:c r="K92" s="4"/>
      <x:c r="L92" s="4"/>
    </x:row>
    <x:row r="93" ht="19" customHeight="1">
      <x:c r="A93" s="1"/>
      <x:c r="B93" s="1"/>
      <x:c r="C93" s="4"/>
      <x:c r="D93" s="4"/>
      <x:c r="E93" s="4"/>
      <x:c r="F93" s="4"/>
      <x:c r="G93" s="4"/>
      <x:c r="H93" s="4"/>
      <x:c r="I93" s="4"/>
      <x:c r="J93" s="4"/>
      <x:c r="K93" s="4"/>
      <x:c r="L93" s="4"/>
    </x:row>
    <x:row r="94" ht="19" customHeight="1">
      <x:c r="A94" s="1"/>
      <x:c r="B94" s="1"/>
      <x:c r="C94" s="4"/>
      <x:c r="D94" s="4"/>
      <x:c r="E94" s="4"/>
      <x:c r="F94" s="4"/>
      <x:c r="G94" s="4"/>
      <x:c r="H94" s="4"/>
      <x:c r="I94" s="4"/>
      <x:c r="J94" s="4"/>
      <x:c r="K94" s="4"/>
      <x:c r="L94" s="4"/>
    </x:row>
    <x:row r="95" ht="19" customHeight="1">
      <x:c r="A95" s="1"/>
      <x:c r="B95" s="1"/>
      <x:c r="C95" s="4"/>
      <x:c r="D95" s="4"/>
      <x:c r="E95" s="4"/>
      <x:c r="F95" s="4"/>
      <x:c r="G95" s="4"/>
      <x:c r="H95" s="4"/>
      <x:c r="I95" s="4"/>
      <x:c r="J95" s="4"/>
      <x:c r="K95" s="4"/>
      <x:c r="L95" s="4"/>
    </x:row>
    <x:row r="96" ht="19" customHeight="1">
      <x:c r="A96" s="1"/>
      <x:c r="B96" s="1"/>
      <x:c r="C96" s="4"/>
      <x:c r="D96" s="4"/>
      <x:c r="E96" s="4"/>
      <x:c r="F96" s="4"/>
      <x:c r="G96" s="4"/>
      <x:c r="H96" s="4"/>
      <x:c r="I96" s="4"/>
      <x:c r="J96" s="4"/>
      <x:c r="K96" s="4"/>
      <x:c r="L96" s="4"/>
    </x:row>
    <x:row r="97" ht="19" customHeight="1">
      <x:c r="A97" s="1"/>
      <x:c r="B97" s="1"/>
      <x:c r="C97" s="4"/>
      <x:c r="D97" s="4"/>
      <x:c r="E97" s="4"/>
      <x:c r="F97" s="4"/>
      <x:c r="G97" s="4"/>
      <x:c r="H97" s="4"/>
      <x:c r="I97" s="4"/>
      <x:c r="J97" s="4"/>
      <x:c r="K97" s="4"/>
      <x:c r="L97" s="4"/>
    </x:row>
    <x:row r="98" ht="19" customHeight="1">
      <x:c r="A98" s="1"/>
      <x:c r="B98" s="1"/>
      <x:c r="C98" s="4"/>
      <x:c r="D98" s="4"/>
      <x:c r="E98" s="4"/>
      <x:c r="F98" s="4"/>
      <x:c r="G98" s="4"/>
      <x:c r="H98" s="4"/>
      <x:c r="I98" s="4"/>
      <x:c r="J98" s="4"/>
      <x:c r="K98" s="4"/>
      <x:c r="L98" s="4"/>
    </x:row>
    <x:row r="99" ht="19" customHeight="1">
      <x:c r="A99" s="1"/>
      <x:c r="B99" s="1"/>
      <x:c r="C99" s="4"/>
      <x:c r="D99" s="4"/>
      <x:c r="E99" s="4"/>
      <x:c r="F99" s="4"/>
      <x:c r="G99" s="4"/>
      <x:c r="H99" s="4"/>
      <x:c r="I99" s="4"/>
      <x:c r="J99" s="4"/>
      <x:c r="K99" s="4"/>
      <x:c r="L99" s="4"/>
    </x:row>
    <x:row r="100" ht="19" customHeight="1">
      <x:c r="A100" s="1"/>
      <x:c r="B100" s="1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</x:row>
    <x:row r="101" ht="19" customHeight="1">
      <x:c r="A101" s="1"/>
      <x:c r="B101" s="1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</x:row>
    <x:row r="102" ht="19" customHeight="1">
      <x:c r="A102" s="1"/>
      <x:c r="B102" s="1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</x:row>
    <x:row r="103" ht="19" customHeight="1">
      <x:c r="A103" s="1"/>
      <x:c r="B103" s="1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</x:row>
    <x:row r="104" ht="19" customHeight="1">
      <x:c r="A104" s="1"/>
      <x:c r="B104" s="1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</x:row>
    <x:row r="105" ht="19" customHeight="1">
      <x:c r="A105" s="1"/>
      <x:c r="B105" s="1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</x:row>
    <x:row r="106" ht="19" customHeight="1">
      <x:c r="A106" s="1"/>
      <x:c r="B106" s="1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</x:row>
    <x:row r="107" ht="19" customHeight="1">
      <x:c r="A107" s="1"/>
      <x:c r="B107" s="1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</x:row>
    <x:row r="108" ht="19" customHeight="1">
      <x:c r="A108" s="1"/>
      <x:c r="B108" s="1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</x:row>
    <x:row r="109" ht="19" customHeight="1">
      <x:c r="A109" s="1"/>
      <x:c r="B109" s="1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</x:row>
    <x:row r="110" ht="19" customHeight="1">
      <x:c r="A110" s="1"/>
      <x:c r="B110" s="1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</x:row>
    <x:row r="111" ht="19" customHeight="1">
      <x:c r="A111" s="1"/>
      <x:c r="B111" s="1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</x:row>
    <x:row r="112" ht="19" customHeight="1">
      <x:c r="A112" s="1"/>
      <x:c r="B112" s="1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</x:row>
    <x:row r="113" ht="19" customHeight="1">
      <x:c r="A113" s="1"/>
      <x:c r="B113" s="1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</x:row>
    <x:row r="114" ht="19" customHeight="1">
      <x:c r="A114" s="1"/>
      <x:c r="B114" s="1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</x:row>
    <x:row r="115" ht="19" customHeight="1">
      <x:c r="A115" s="1"/>
      <x:c r="B115" s="1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</x:row>
    <x:row r="116" ht="19" customHeight="1">
      <x:c r="A116" s="1"/>
      <x:c r="B116" s="1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</x:row>
    <x:row r="117" ht="19" customHeight="1">
      <x:c r="A117" s="1"/>
      <x:c r="B117" s="1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</x:row>
    <x:row r="118" ht="19" customHeight="1">
      <x:c r="A118" s="1"/>
      <x:c r="B118" s="1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</x:row>
    <x:row r="119" ht="19" customHeight="1">
      <x:c r="A119" s="1"/>
      <x:c r="B119" s="1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</x:row>
    <x:row r="120" ht="19" customHeight="1">
      <x:c r="A120" s="1"/>
      <x:c r="B120" s="1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</x:row>
    <x:row r="121" ht="19" customHeight="1">
      <x:c r="A121" s="1"/>
      <x:c r="B121" s="1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</x:row>
    <x:row r="122" ht="19" customHeight="1">
      <x:c r="A122" s="1"/>
      <x:c r="B122" s="1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</x:row>
    <x:row r="123" ht="19" customHeight="1">
      <x:c r="A123" s="1"/>
      <x:c r="B123" s="1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</x:row>
    <x:row r="124" ht="19" customHeight="1">
      <x:c r="A124" s="1"/>
      <x:c r="B124" s="1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</x:row>
    <x:row r="125" ht="19" customHeight="1">
      <x:c r="A125" s="1"/>
      <x:c r="B125" s="1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</x:row>
  </x:sheetData>
  <x:mergeCells>
    <x:mergeCell ref="A42:G42"/>
    <x:mergeCell ref="A44:G44"/>
    <x:mergeCell ref="A46:G46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2F343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6" hidden="0" customWidth="1"/>
    <x:col min="2" max="2" width="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8" customHeight="1">
      <x:c r="A1" s="88" t="str">
        <x:v>Reverse DCF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</x:row>
    <x:row r="2" ht="19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9" customHeight="1">
      <x:c r="A3" s="1" t="str">
        <x:v>Pricol Limited | Consolidated | INR crore, except per-share data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19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19" customHeight="1">
      <x:c r="A5" s="91" t="str">
        <x:v>Metric</x:v>
      </x:c>
      <x:c r="B5" s="91"/>
      <x:c r="C5" s="91" t="str">
        <x:v>Value</x:v>
      </x:c>
      <x:c r="D5" s="91"/>
      <x:c r="E5" s="91"/>
      <x:c r="F5" s="91"/>
      <x:c r="G5" s="91"/>
      <x:c r="H5" s="91"/>
      <x:c r="I5" s="91"/>
      <x:c r="J5" s="91"/>
      <x:c r="K5" s="91"/>
      <x:c r="L5" s="91"/>
    </x:row>
    <x:row r="6" ht="19" customHeight="1">
      <x:c r="A6" s="1"/>
      <x:c r="B6" s="1"/>
      <x:c r="C6" s="4"/>
      <x:c r="D6" s="4"/>
      <x:c r="E6" s="4"/>
      <x:c r="F6" s="4"/>
      <x:c r="G6" s="4"/>
      <x:c r="H6" s="4"/>
      <x:c r="I6" s="4"/>
      <x:c r="J6" s="4"/>
      <x:c r="K6" s="4"/>
      <x:c r="L6" s="4"/>
    </x:row>
    <x:row r="7" ht="19" customHeight="1">
      <x:c r="A7" s="94" t="str">
        <x:v>Implied operating expectations</x:v>
      </x:c>
      <x:c r="B7" s="94"/>
      <x:c r="C7" s="95"/>
      <x:c r="D7" s="95"/>
      <x:c r="E7" s="95"/>
      <x:c r="F7" s="95"/>
      <x:c r="G7" s="95"/>
      <x:c r="H7" s="4"/>
      <x:c r="I7" s="4"/>
      <x:c r="J7" s="4"/>
      <x:c r="K7" s="4"/>
      <x:c r="L7" s="4"/>
    </x:row>
    <x:row r="8" ht="19" customHeight="1">
      <x:c r="A8" s="1" t="str">
        <x:v>Reference share price (INR)</x:v>
      </x:c>
      <x:c r="B8" s="1"/>
      <x:c r="C8" s="67" t="n">
        <x:f>'05_Assumptions'!$G$36</x:f>
        <x:v>766.75</x:v>
      </x:c>
      <x:c r="D8" s="4"/>
      <x:c r="E8" s="4"/>
      <x:c r="F8" s="4"/>
      <x:c r="G8" s="4"/>
      <x:c r="H8" s="4"/>
      <x:c r="I8" s="4"/>
      <x:c r="J8" s="4"/>
      <x:c r="K8" s="4"/>
      <x:c r="L8" s="4"/>
    </x:row>
    <x:row r="9" ht="19" customHeight="1">
      <x:c r="A9" s="1" t="str">
        <x:v>Shares outstanding (crore)</x:v>
      </x:c>
      <x:c r="B9" s="1"/>
      <x:c r="C9" s="26" t="n">
        <x:f>'02_Raw_Financials'!G59</x:f>
        <x:v>12.1881498</x:v>
      </x:c>
      <x:c r="D9" s="4"/>
      <x:c r="E9" s="4"/>
      <x:c r="F9" s="4"/>
      <x:c r="G9" s="4"/>
      <x:c r="H9" s="4"/>
      <x:c r="I9" s="4"/>
      <x:c r="J9" s="4"/>
      <x:c r="K9" s="4"/>
      <x:c r="L9" s="4"/>
    </x:row>
    <x:row r="10" ht="19" customHeight="1">
      <x:c r="A10" s="1" t="str">
        <x:v>Reference equity value</x:v>
      </x:c>
      <x:c r="B10" s="1"/>
      <x:c r="C10" s="4" t="n">
        <x:f>C8*C9</x:f>
        <x:v>9345.26385915</x:v>
      </x:c>
      <x:c r="D10" s="4"/>
      <x:c r="E10" s="4"/>
      <x:c r="F10" s="4"/>
      <x:c r="G10" s="4"/>
      <x:c r="H10" s="4"/>
      <x:c r="I10" s="4"/>
      <x:c r="J10" s="4"/>
      <x:c r="K10" s="4"/>
      <x:c r="L10" s="4"/>
    </x:row>
    <x:row r="11" ht="19" customHeight="1">
      <x:c r="A11" s="1" t="str">
        <x:v>Debt and other claims, less excess cash</x:v>
      </x:c>
      <x:c r="B11" s="1"/>
      <x:c r="C11" s="26" t="n">
        <x:f>'10_DCF'!C30+'10_DCF'!C32-'10_DCF'!C31</x:f>
        <x:v>335.2159999999999</x:v>
      </x:c>
      <x:c r="D11" s="4"/>
      <x:c r="E11" s="4"/>
      <x:c r="F11" s="4"/>
      <x:c r="G11" s="4"/>
      <x:c r="H11" s="4"/>
      <x:c r="I11" s="4"/>
      <x:c r="J11" s="4"/>
      <x:c r="K11" s="4"/>
      <x:c r="L11" s="4"/>
    </x:row>
    <x:row r="12" ht="19" customHeight="1">
      <x:c r="A12" s="74" t="str">
        <x:v>Reference enterprise value</x:v>
      </x:c>
      <x:c r="B12" s="74"/>
      <x:c r="C12" s="78" t="n">
        <x:f>SUM(C10:C11)</x:f>
        <x:v>9680.47985915</x:v>
      </x:c>
      <x:c r="D12" s="78"/>
      <x:c r="E12" s="78"/>
      <x:c r="F12" s="78"/>
      <x:c r="G12" s="78"/>
      <x:c r="H12" s="4"/>
      <x:c r="I12" s="4"/>
      <x:c r="J12" s="4"/>
      <x:c r="K12" s="4"/>
      <x:c r="L12" s="4"/>
    </x:row>
    <x:row r="13" ht="19" customHeight="1">
      <x:c r="A13" s="1" t="str">
        <x:v>Base DCF enterprise value</x:v>
      </x:c>
      <x:c r="B13" s="1"/>
      <x:c r="C13" s="26" t="n">
        <x:f>'10_DCF'!C29</x:f>
        <x:v>2274.339187139377</x:v>
      </x:c>
      <x:c r="D13" s="4"/>
      <x:c r="E13" s="4"/>
      <x:c r="F13" s="4"/>
      <x:c r="G13" s="4"/>
      <x:c r="H13" s="4"/>
      <x:c r="I13" s="4"/>
      <x:c r="J13" s="4"/>
      <x:c r="K13" s="4"/>
      <x:c r="L13" s="4"/>
    </x:row>
    <x:row r="14" ht="19" customHeight="1">
      <x:c r="A14" s="1" t="str">
        <x:v>EV increase per 1 percentage-point margin</x:v>
      </x:c>
      <x:c r="B14" s="1"/>
      <x:c r="C14" s="4" t="n">
        <x:f>SUM(C28:G28)+C31</x:f>
        <x:v>354.2745643502185</x:v>
      </x:c>
      <x:c r="D14" s="4"/>
      <x:c r="E14" s="4"/>
      <x:c r="F14" s="4"/>
      <x:c r="G14" s="4"/>
      <x:c r="H14" s="4"/>
      <x:c r="I14" s="4"/>
      <x:c r="J14" s="4"/>
      <x:c r="K14" s="4"/>
      <x:c r="L14" s="4"/>
    </x:row>
    <x:row r="15" ht="19" customHeight="1">
      <x:c r="A15" s="1" t="str">
        <x:v>Required EBITDA-margin uplift (points)</x:v>
      </x:c>
      <x:c r="B15" s="1"/>
      <x:c r="C15" s="27" t="n">
        <x:f>(C12-C13)/C14/100</x:f>
        <x:v>0.20905087232537742</x:v>
      </x:c>
      <x:c r="D15" s="4"/>
      <x:c r="E15" s="4"/>
      <x:c r="F15" s="4"/>
      <x:c r="G15" s="4"/>
      <x:c r="H15" s="4"/>
      <x:c r="I15" s="4"/>
      <x:c r="J15" s="4"/>
      <x:c r="K15" s="4"/>
      <x:c r="L15" s="4"/>
    </x:row>
    <x:row r="16" ht="19" customHeight="1">
      <x:c r="A16" s="74" t="str">
        <x:v>Implied FY2031 EBITDA margin</x:v>
      </x:c>
      <x:c r="B16" s="74"/>
      <x:c r="C16" s="84" t="n">
        <x:f>'05_Assumptions'!L10+C15</x:f>
        <x:v>0.32705087232537744</x:v>
      </x:c>
      <x:c r="D16" s="78"/>
      <x:c r="E16" s="78"/>
      <x:c r="F16" s="78"/>
      <x:c r="G16" s="78"/>
      <x:c r="H16" s="4"/>
      <x:c r="I16" s="4"/>
      <x:c r="J16" s="4"/>
      <x:c r="K16" s="4"/>
      <x:c r="L16" s="4"/>
    </x:row>
    <x:row r="17" ht="19" customHeight="1">
      <x:c r="A17" s="74" t="str">
        <x:v>Reverse DCF enterprise value</x:v>
      </x:c>
      <x:c r="B17" s="74"/>
      <x:c r="C17" s="78" t="n">
        <x:f>SUM(C38:G38)+C41</x:f>
        <x:v>9680.47985915</x:v>
      </x:c>
      <x:c r="D17" s="78"/>
      <x:c r="E17" s="78"/>
      <x:c r="F17" s="78"/>
      <x:c r="G17" s="78"/>
      <x:c r="H17" s="4"/>
      <x:c r="I17" s="4"/>
      <x:c r="J17" s="4"/>
      <x:c r="K17" s="4"/>
      <x:c r="L17" s="4"/>
    </x:row>
    <x:row r="18" ht="19" customHeight="1">
      <x:c r="A18" s="1" t="str">
        <x:v>Difference to reference enterprise value</x:v>
      </x:c>
      <x:c r="B18" s="1"/>
      <x:c r="C18" s="86" t="n">
        <x:f>ROUND(C17-C12,8)</x:f>
        <x:v>0</x:v>
      </x:c>
      <x:c r="D18" s="4"/>
      <x:c r="E18" s="4"/>
      <x:c r="F18" s="4"/>
      <x:c r="G18" s="4"/>
      <x:c r="H18" s="4"/>
      <x:c r="I18" s="4"/>
      <x:c r="J18" s="4"/>
      <x:c r="K18" s="4"/>
      <x:c r="L18" s="4"/>
    </x:row>
    <x:row r="19" ht="19" customHeight="1">
      <x:c r="A19" s="1"/>
      <x:c r="B19" s="1"/>
      <x:c r="C19" s="4"/>
      <x:c r="D19" s="4"/>
      <x:c r="E19" s="4"/>
      <x:c r="F19" s="4"/>
      <x:c r="G19" s="4"/>
      <x:c r="H19" s="4"/>
      <x:c r="I19" s="4"/>
      <x:c r="J19" s="4"/>
      <x:c r="K19" s="4"/>
      <x:c r="L19" s="4"/>
    </x:row>
    <x:row r="20" ht="19" customHeight="1">
      <x:c r="A20" s="1"/>
      <x:c r="B20" s="1"/>
      <x:c r="C20" s="4"/>
      <x:c r="D20" s="4"/>
      <x:c r="E20" s="4"/>
      <x:c r="F20" s="4"/>
      <x:c r="G20" s="4"/>
      <x:c r="H20" s="4"/>
      <x:c r="I20" s="4"/>
      <x:c r="J20" s="4"/>
      <x:c r="K20" s="4"/>
      <x:c r="L20" s="4"/>
    </x:row>
    <x:row r="21" ht="19" customHeight="1">
      <x:c r="A21" s="94" t="str">
        <x:v>Margin sensitivity and implied cash flows</x:v>
      </x:c>
      <x:c r="B21" s="94"/>
      <x:c r="C21" s="95"/>
      <x:c r="D21" s="95"/>
      <x:c r="E21" s="95"/>
      <x:c r="F21" s="95"/>
      <x:c r="G21" s="95"/>
      <x:c r="H21" s="4"/>
      <x:c r="I21" s="4"/>
      <x:c r="J21" s="4"/>
      <x:c r="K21" s="4"/>
      <x:c r="L21" s="4"/>
    </x:row>
    <x:row r="22" ht="19" customHeight="1">
      <x:c r="A22" s="1"/>
      <x:c r="B22" s="1"/>
      <x:c r="C22" s="4" t="str">
        <x:v>FY2027E</x:v>
      </x:c>
      <x:c r="D22" s="4" t="str">
        <x:v>FY2028E</x:v>
      </x:c>
      <x:c r="E22" s="4" t="str">
        <x:v>FY2029E</x:v>
      </x:c>
      <x:c r="F22" s="4" t="str">
        <x:v>FY2030E</x:v>
      </x:c>
      <x:c r="G22" s="4" t="str">
        <x:v>FY2031E</x:v>
      </x:c>
      <x:c r="H22" s="4"/>
      <x:c r="I22" s="4"/>
      <x:c r="J22" s="4"/>
      <x:c r="K22" s="4"/>
      <x:c r="L22" s="4"/>
    </x:row>
    <x:row r="23" ht="19" customHeight="1">
      <x:c r="A23" s="1"/>
      <x:c r="B23" s="1"/>
      <x:c r="C23" s="4"/>
      <x:c r="D23" s="4"/>
      <x:c r="E23" s="4"/>
      <x:c r="F23" s="4"/>
      <x:c r="G23" s="4"/>
      <x:c r="H23" s="4"/>
      <x:c r="I23" s="4"/>
      <x:c r="J23" s="4"/>
      <x:c r="K23" s="4"/>
      <x:c r="L23" s="4"/>
    </x:row>
    <x:row r="24" ht="19" customHeight="1">
      <x:c r="A24" s="1" t="str">
        <x:v>Revenue held constant</x:v>
      </x:c>
      <x:c r="B24" s="1"/>
      <x:c r="C24" s="26" t="n">
        <x:f>'07_Income_Statement'!H8</x:f>
        <x:v>4392.7660000000005</x:v>
      </x:c>
      <x:c r="D24" s="26" t="n">
        <x:f>'07_Income_Statement'!I8</x:f>
        <x:v>4877.140100000001</x:v>
      </x:c>
      <x:c r="E24" s="26" t="n">
        <x:f>'07_Income_Statement'!J8</x:f>
        <x:v>5378.317259000001</x:v>
      </x:c>
      <x:c r="F24" s="26" t="n">
        <x:f>'07_Income_Statement'!K8</x:f>
        <x:v>5856.295794720002</x:v>
      </x:c>
      <x:c r="G24" s="26" t="n">
        <x:f>'07_Income_Statement'!L8</x:f>
        <x:v>6306.315550550403</x:v>
      </x:c>
      <x:c r="H24" s="4"/>
      <x:c r="I24" s="4"/>
      <x:c r="J24" s="4"/>
      <x:c r="K24" s="4"/>
      <x:c r="L24" s="4"/>
    </x:row>
    <x:row r="25" ht="19" customHeight="1">
      <x:c r="A25" s="1" t="str">
        <x:v>Tax rate</x:v>
      </x:c>
      <x:c r="B25" s="1"/>
      <x:c r="C25" s="28" t="n">
        <x:f>'05_Assumptions'!H14</x:f>
        <x:v>0.25</x:v>
      </x:c>
      <x:c r="D25" s="28" t="n">
        <x:f>'05_Assumptions'!I14</x:f>
        <x:v>0.25</x:v>
      </x:c>
      <x:c r="E25" s="28" t="n">
        <x:f>'05_Assumptions'!J14</x:f>
        <x:v>0.25</x:v>
      </x:c>
      <x:c r="F25" s="28" t="n">
        <x:f>'05_Assumptions'!K14</x:f>
        <x:v>0.25</x:v>
      </x:c>
      <x:c r="G25" s="28" t="n">
        <x:f>'05_Assumptions'!L14</x:f>
        <x:v>0.25</x:v>
      </x:c>
      <x:c r="H25" s="4"/>
      <x:c r="I25" s="4"/>
      <x:c r="J25" s="4"/>
      <x:c r="K25" s="4"/>
      <x:c r="L25" s="4"/>
    </x:row>
    <x:row r="26" ht="19" customHeight="1">
      <x:c r="A26" s="1" t="str">
        <x:v>Discount factor</x:v>
      </x:c>
      <x:c r="B26" s="1"/>
      <x:c r="C26" s="110" t="n">
        <x:f>'10_DCF'!C16</x:f>
        <x:v>0.8888888888888888</x:v>
      </x:c>
      <x:c r="D26" s="110" t="n">
        <x:f>'10_DCF'!D16</x:f>
        <x:v>0.7901234567901234</x:v>
      </x:c>
      <x:c r="E26" s="110" t="n">
        <x:f>'10_DCF'!E16</x:f>
        <x:v>0.7023319615912208</x:v>
      </x:c>
      <x:c r="F26" s="110" t="n">
        <x:f>'10_DCF'!F16</x:f>
        <x:v>0.6242950769699741</x:v>
      </x:c>
      <x:c r="G26" s="110" t="n">
        <x:f>'10_DCF'!G16</x:f>
        <x:v>0.5549289573066436</x:v>
      </x:c>
      <x:c r="H26" s="4"/>
      <x:c r="I26" s="4"/>
      <x:c r="J26" s="4"/>
      <x:c r="K26" s="4"/>
      <x:c r="L26" s="4"/>
    </x:row>
    <x:row r="27" ht="19" customHeight="1">
      <x:c r="A27" s="1" t="str">
        <x:v>FCF increase per 1 margin percentage point</x:v>
      </x:c>
      <x:c r="B27" s="1"/>
      <x:c r="C27" s="4" t="n">
        <x:f>C24*(1-C25)/100-C51</x:f>
        <x:v>32.94574500000001</x:v>
      </x:c>
      <x:c r="D27" s="4" t="n">
        <x:f>D24*(1-D25)/100-D51</x:f>
        <x:v>36.57855075000001</x:v>
      </x:c>
      <x:c r="E27" s="4" t="n">
        <x:f>E24*(1-E25)/100-E51</x:f>
        <x:v>40.33737944250001</x:v>
      </x:c>
      <x:c r="F27" s="4" t="n">
        <x:f>F24*(1-F25)/100-F51</x:f>
        <x:v>43.92221846040002</x:v>
      </x:c>
      <x:c r="G27" s="4" t="n">
        <x:f>G24*(1-G25)/100-G51</x:f>
        <x:v>47.29736662912802</x:v>
      </x:c>
      <x:c r="H27" s="4"/>
      <x:c r="I27" s="4"/>
      <x:c r="J27" s="4"/>
      <x:c r="K27" s="4"/>
      <x:c r="L27" s="4"/>
    </x:row>
    <x:row r="28" ht="19" customHeight="1">
      <x:c r="A28" s="1" t="str">
        <x:v>PV of increase</x:v>
      </x:c>
      <x:c r="B28" s="1"/>
      <x:c r="C28" s="4" t="n">
        <x:f>C27*C26</x:f>
        <x:v>29.285106666666675</x:v>
      </x:c>
      <x:c r="D28" s="4" t="n">
        <x:f>D27*D26</x:f>
        <x:v>28.90157096296297</x:v>
      </x:c>
      <x:c r="E28" s="4" t="n">
        <x:f>E27*E26</x:f>
        <x:v>28.330230829300415</x:v>
      </x:c>
      <x:c r="F28" s="4" t="n">
        <x:f>F27*F26</x:f>
        <x:v>27.420424754427447</x:v>
      </x:c>
      <x:c r="G28" s="4" t="n">
        <x:f>G27*G26</x:f>
        <x:v>26.246678346852054</x:v>
      </x:c>
      <x:c r="H28" s="4"/>
      <x:c r="I28" s="4"/>
      <x:c r="J28" s="4"/>
      <x:c r="K28" s="4"/>
      <x:c r="L28" s="4"/>
    </x:row>
    <x:row r="29" ht="19" customHeight="1">
      <x:c r="A29" s="1"/>
      <x:c r="B29" s="1"/>
      <x:c r="C29" s="4"/>
      <x:c r="D29" s="4"/>
      <x:c r="E29" s="4"/>
      <x:c r="F29" s="4"/>
      <x:c r="G29" s="4"/>
      <x:c r="H29" s="4"/>
      <x:c r="I29" s="4"/>
      <x:c r="J29" s="4"/>
      <x:c r="K29" s="4"/>
      <x:c r="L29" s="4"/>
    </x:row>
    <x:row r="30" ht="19" customHeight="1">
      <x:c r="A30" s="1" t="str">
        <x:v>Terminal FCF increase per 1 percentage point</x:v>
      </x:c>
      <x:c r="B30" s="1"/>
      <x:c r="C30" s="26" t="n">
        <x:f>G24*(1-G25)/100*(1+'10_DCF'!C23)*(1-'10_DCF'!C26)</x:f>
        <x:v>32.79284086286209</x:v>
      </x:c>
      <x:c r="D30" s="4"/>
      <x:c r="E30" s="4"/>
      <x:c r="F30" s="4"/>
      <x:c r="G30" s="4"/>
      <x:c r="H30" s="4"/>
      <x:c r="I30" s="4"/>
      <x:c r="J30" s="4"/>
      <x:c r="K30" s="4"/>
      <x:c r="L30" s="4"/>
    </x:row>
    <x:row r="31" ht="19" customHeight="1">
      <x:c r="A31" s="1" t="str">
        <x:v>PV of terminal increase</x:v>
      </x:c>
      <x:c r="B31" s="1"/>
      <x:c r="C31" s="26" t="n">
        <x:f>C30/('10_DCF'!C22-'10_DCF'!C23)*G26</x:f>
        <x:v>214.09055279000893</x:v>
      </x:c>
      <x:c r="D31" s="4"/>
      <x:c r="E31" s="4"/>
      <x:c r="F31" s="4"/>
      <x:c r="G31" s="4"/>
      <x:c r="H31" s="4"/>
      <x:c r="I31" s="4"/>
      <x:c r="J31" s="4"/>
      <x:c r="K31" s="4"/>
      <x:c r="L31" s="4"/>
    </x:row>
    <x:row r="32" ht="19" customHeight="1">
      <x:c r="A32" s="1"/>
      <x:c r="B32" s="1"/>
      <x:c r="C32" s="4"/>
      <x:c r="D32" s="4"/>
      <x:c r="E32" s="4"/>
      <x:c r="F32" s="4"/>
      <x:c r="G32" s="4"/>
      <x:c r="H32" s="4"/>
      <x:c r="I32" s="4"/>
      <x:c r="J32" s="4"/>
      <x:c r="K32" s="4"/>
      <x:c r="L32" s="4"/>
    </x:row>
    <x:row r="33" ht="19" customHeight="1">
      <x:c r="A33" s="1"/>
      <x:c r="B33" s="1"/>
      <x:c r="C33" s="4"/>
      <x:c r="D33" s="4"/>
      <x:c r="E33" s="4"/>
      <x:c r="F33" s="4"/>
      <x:c r="G33" s="4"/>
      <x:c r="H33" s="4"/>
      <x:c r="I33" s="4"/>
      <x:c r="J33" s="4"/>
      <x:c r="K33" s="4"/>
      <x:c r="L33" s="4"/>
    </x:row>
    <x:row r="34" ht="19" customHeight="1">
      <x:c r="A34" s="1" t="str">
        <x:v>Implied EBITDA margin</x:v>
      </x:c>
      <x:c r="B34" s="1"/>
      <x:c r="C34" s="28" t="n">
        <x:f>'05_Assumptions'!H10+$C$15</x:f>
        <x:v>0.32205087232537744</x:v>
      </x:c>
      <x:c r="D34" s="28" t="n">
        <x:f>'05_Assumptions'!I10+$C$15</x:f>
        <x:v>0.32405087232537744</x:v>
      </x:c>
      <x:c r="E34" s="28" t="n">
        <x:f>'05_Assumptions'!J10+$C$15</x:f>
        <x:v>0.32605087232537744</x:v>
      </x:c>
      <x:c r="F34" s="28" t="n">
        <x:f>'05_Assumptions'!K10+$C$15</x:f>
        <x:v>0.32705087232537744</x:v>
      </x:c>
      <x:c r="G34" s="28" t="n">
        <x:f>'05_Assumptions'!L10+$C$15</x:f>
        <x:v>0.32705087232537744</x:v>
      </x:c>
      <x:c r="H34" s="4"/>
      <x:c r="I34" s="4"/>
      <x:c r="J34" s="4"/>
      <x:c r="K34" s="4"/>
      <x:c r="L34" s="4"/>
    </x:row>
    <x:row r="35" ht="19" customHeight="1">
      <x:c r="A35" s="1" t="str">
        <x:v>Base unlevered free cash flow</x:v>
      </x:c>
      <x:c r="B35" s="1"/>
      <x:c r="C35" s="26" t="n">
        <x:f>'10_DCF'!C14</x:f>
        <x:v>-29.410107150684865</x:v>
      </x:c>
      <x:c r="D35" s="26" t="n">
        <x:f>'10_DCF'!D14</x:f>
        <x:v>17.844088075342384</x:v>
      </x:c>
      <x:c r="E35" s="26" t="n">
        <x:f>'10_DCF'!E14</x:f>
        <x:v>145.3510102454864</x:v>
      </x:c>
      <x:c r="F35" s="26" t="n">
        <x:f>'10_DCF'!F14</x:f>
        <x:v>188.5950527700437</x:v>
      </x:c>
      <x:c r="G35" s="26" t="n">
        <x:f>'10_DCF'!G14</x:f>
        <x:v>218.54759333495397</x:v>
      </x:c>
      <x:c r="H35" s="4"/>
      <x:c r="I35" s="4"/>
      <x:c r="J35" s="4"/>
      <x:c r="K35" s="4"/>
      <x:c r="L35" s="4"/>
    </x:row>
    <x:row r="36" ht="19" customHeight="1">
      <x:c r="A36" s="1" t="str">
        <x:v>Incremental cash flow from margin uplift</x:v>
      </x:c>
      <x:c r="B36" s="1"/>
      <x:c r="C36" s="4" t="n">
        <x:f>C27*$C$15*100</x:f>
        <x:v>688.7336731659443</x:v>
      </x:c>
      <x:c r="D36" s="4" t="n">
        <x:f>D27*$C$15*100</x:f>
        <x:v>764.6777942685591</x:v>
      </x:c>
      <x:c r="E36" s="4" t="n">
        <x:f>E27*$C$15*100</x:f>
        <x:v>843.2564359774373</x:v>
      </x:c>
      <x:c r="F36" s="4" t="n">
        <x:f>F27*$C$15*100</x:f>
        <x:v>918.1978083612419</x:v>
      </x:c>
      <x:c r="G36" s="4" t="n">
        <x:f>G27*$C$15*100</x:f>
        <x:v>988.7555752512409</x:v>
      </x:c>
      <x:c r="H36" s="4"/>
      <x:c r="I36" s="4"/>
      <x:c r="J36" s="4"/>
      <x:c r="K36" s="4"/>
      <x:c r="L36" s="4"/>
    </x:row>
    <x:row r="37" ht="19" customHeight="1">
      <x:c r="A37" s="74" t="str">
        <x:v>Implied unlevered free cash flow</x:v>
      </x:c>
      <x:c r="B37" s="74"/>
      <x:c r="C37" s="78" t="n">
        <x:f>SUM(C35:C36)</x:f>
        <x:v>659.3235660152594</x:v>
      </x:c>
      <x:c r="D37" s="78" t="n">
        <x:f>SUM(D35:D36)</x:f>
        <x:v>782.5218823439014</x:v>
      </x:c>
      <x:c r="E37" s="78" t="n">
        <x:f>SUM(E35:E36)</x:f>
        <x:v>988.6074462229237</x:v>
      </x:c>
      <x:c r="F37" s="78" t="n">
        <x:f>SUM(F35:F36)</x:f>
        <x:v>1106.7928611312855</x:v>
      </x:c>
      <x:c r="G37" s="78" t="n">
        <x:f>SUM(G35:G36)</x:f>
        <x:v>1207.303168586195</x:v>
      </x:c>
      <x:c r="H37" s="4"/>
      <x:c r="I37" s="4"/>
      <x:c r="J37" s="4"/>
      <x:c r="K37" s="4"/>
      <x:c r="L37" s="4"/>
    </x:row>
    <x:row r="38" ht="19" customHeight="1">
      <x:c r="A38" s="1" t="str">
        <x:v>PV of implied cash flow</x:v>
      </x:c>
      <x:c r="B38" s="1"/>
      <x:c r="C38" s="4" t="n">
        <x:f>C37*C26</x:f>
        <x:v>586.0653920135638</x:v>
      </x:c>
      <x:c r="D38" s="4" t="n">
        <x:f>D37*D26</x:f>
        <x:v>618.2888946914776</x:v>
      </x:c>
      <x:c r="E38" s="4" t="n">
        <x:f>E37*E26</x:f>
        <x:v>694.3306069494333</x:v>
      </x:c>
      <x:c r="F38" s="4" t="n">
        <x:f>F37*F26</x:f>
        <x:v>690.9653344297737</x:v>
      </x:c>
      <x:c r="G38" s="4" t="n">
        <x:f>G37*G26</x:f>
        <x:v>669.9674884965441</x:v>
      </x:c>
      <x:c r="H38" s="4"/>
      <x:c r="I38" s="4"/>
      <x:c r="J38" s="4"/>
      <x:c r="K38" s="4"/>
      <x:c r="L38" s="4"/>
    </x:row>
    <x:row r="39" ht="19" customHeight="1">
      <x:c r="A39" s="1"/>
      <x:c r="B39" s="1"/>
      <x:c r="C39" s="4"/>
      <x:c r="D39" s="4"/>
      <x:c r="E39" s="4"/>
      <x:c r="F39" s="4"/>
      <x:c r="G39" s="4"/>
      <x:c r="H39" s="4"/>
      <x:c r="I39" s="4"/>
      <x:c r="J39" s="4"/>
      <x:c r="K39" s="4"/>
      <x:c r="L39" s="4"/>
    </x:row>
    <x:row r="40" ht="19" customHeight="1">
      <x:c r="A40" s="1" t="str">
        <x:v>Implied terminal free cash flow</x:v>
      </x:c>
      <x:c r="B40" s="1"/>
      <x:c r="C40" s="26" t="n">
        <x:f>'10_DCF'!C27+C30*$C$15*100</x:f>
        <x:v>983.5011760195425</x:v>
      </x:c>
      <x:c r="D40" s="4"/>
      <x:c r="E40" s="4"/>
      <x:c r="F40" s="4"/>
      <x:c r="G40" s="4"/>
      <x:c r="H40" s="4"/>
      <x:c r="I40" s="4"/>
      <x:c r="J40" s="4"/>
      <x:c r="K40" s="4"/>
      <x:c r="L40" s="4"/>
    </x:row>
    <x:row r="41" ht="19" customHeight="1">
      <x:c r="A41" s="1" t="str">
        <x:v>PV of implied terminal cash flow</x:v>
      </x:c>
      <x:c r="B41" s="1"/>
      <x:c r="C41" s="26" t="n">
        <x:f>C40/('10_DCF'!C22-'10_DCF'!C23)*G26</x:f>
        <x:v>6420.862142569206</x:v>
      </x:c>
      <x:c r="D41" s="4"/>
      <x:c r="E41" s="4"/>
      <x:c r="F41" s="4"/>
      <x:c r="G41" s="4"/>
      <x:c r="H41" s="4"/>
      <x:c r="I41" s="4"/>
      <x:c r="J41" s="4"/>
      <x:c r="K41" s="4"/>
      <x:c r="L41" s="4"/>
    </x:row>
    <x:row r="42" ht="19" customHeight="1">
      <x:c r="A42" s="1"/>
      <x:c r="B42" s="1"/>
      <x:c r="C42" s="4"/>
      <x:c r="D42" s="4"/>
      <x:c r="E42" s="4"/>
      <x:c r="F42" s="4"/>
      <x:c r="G42" s="4"/>
      <x:c r="H42" s="4"/>
      <x:c r="I42" s="4"/>
      <x:c r="J42" s="4"/>
      <x:c r="K42" s="4"/>
      <x:c r="L42" s="4"/>
    </x:row>
    <x:row r="43" ht="19" customHeight="1">
      <x:c r="A43" s="1"/>
      <x:c r="B43" s="1"/>
      <x:c r="C43" s="4"/>
      <x:c r="D43" s="4"/>
      <x:c r="E43" s="4"/>
      <x:c r="F43" s="4"/>
      <x:c r="G43" s="4"/>
      <x:c r="H43" s="4"/>
      <x:c r="I43" s="4"/>
      <x:c r="J43" s="4"/>
      <x:c r="K43" s="4"/>
      <x:c r="L43" s="4"/>
    </x:row>
    <x:row r="44" ht="32" customHeight="1">
      <x:c r="A44" s="62" t="str">
        <x:v>A constant EBITDA-margin uplift is solved across five years and the terminal year. Revenue, capex and working-capital days follow the base assumptions.</x:v>
      </x:c>
      <x:c r="B44" s="62"/>
      <x:c r="C44" s="63"/>
      <x:c r="D44" s="63"/>
      <x:c r="E44" s="63"/>
      <x:c r="F44" s="63"/>
      <x:c r="G44" s="63"/>
      <x:c r="H44" s="4"/>
      <x:c r="I44" s="4"/>
      <x:c r="J44" s="4"/>
      <x:c r="K44" s="4"/>
      <x:c r="L44" s="4"/>
    </x:row>
    <x:row r="45" ht="19" customHeight="1">
      <x:c r="A45" s="1"/>
      <x:c r="B45" s="1"/>
      <x:c r="C45" s="4"/>
      <x:c r="D45" s="4"/>
      <x:c r="E45" s="4"/>
      <x:c r="F45" s="4"/>
      <x:c r="G45" s="4"/>
      <x:c r="H45" s="4"/>
      <x:c r="I45" s="4"/>
      <x:c r="J45" s="4"/>
      <x:c r="K45" s="4"/>
      <x:c r="L45" s="4"/>
    </x:row>
    <x:row r="46" ht="32" customHeight="1">
      <x:c r="A46" s="62" t="str">
        <x:v>This is a profitability requirement, not a forecast. Inventory and payables respond to costs; terminal reinvestment uses growth / ROIC. The solve assumes positive EBIT.</x:v>
      </x:c>
      <x:c r="B46" s="62"/>
      <x:c r="C46" s="63"/>
      <x:c r="D46" s="63"/>
      <x:c r="E46" s="63"/>
      <x:c r="F46" s="63"/>
      <x:c r="G46" s="63"/>
      <x:c r="H46" s="4"/>
      <x:c r="I46" s="4"/>
      <x:c r="J46" s="4"/>
      <x:c r="K46" s="4"/>
      <x:c r="L46" s="4"/>
    </x:row>
    <x:row r="47" ht="19" customHeight="1">
      <x:c r="A47" s="1"/>
      <x:c r="B47" s="1"/>
      <x:c r="C47" s="4"/>
      <x:c r="D47" s="4"/>
      <x:c r="E47" s="4"/>
      <x:c r="F47" s="4"/>
      <x:c r="G47" s="4"/>
      <x:c r="H47" s="4"/>
      <x:c r="I47" s="4"/>
      <x:c r="J47" s="4"/>
      <x:c r="K47" s="4"/>
      <x:c r="L47" s="4"/>
    </x:row>
    <x:row r="48" ht="32" customHeight="1">
      <x:c r="A48" s="62" t="str">
        <x:f>IF(C16&gt;'05_Assumptions'!L10,"The implied margin exceeds the base forecast at the reference price.","The implied margin is at or below the base forecast at the reference price.")</x:f>
        <x:v>The implied margin exceeds the base forecast at the reference price.</x:v>
      </x:c>
      <x:c r="B48" s="62"/>
      <x:c r="C48" s="63"/>
      <x:c r="D48" s="63"/>
      <x:c r="E48" s="63"/>
      <x:c r="F48" s="63"/>
      <x:c r="G48" s="63"/>
      <x:c r="H48" s="4"/>
      <x:c r="I48" s="4"/>
      <x:c r="J48" s="4"/>
      <x:c r="K48" s="4"/>
      <x:c r="L48" s="4"/>
    </x:row>
    <x:row r="49" ht="19" customHeight="1">
      <x:c r="A49" s="1"/>
      <x:c r="B49" s="1"/>
      <x:c r="C49" s="4"/>
      <x:c r="D49" s="4"/>
      <x:c r="E49" s="4"/>
      <x:c r="F49" s="4"/>
      <x:c r="G49" s="4"/>
      <x:c r="H49" s="4"/>
      <x:c r="I49" s="4"/>
      <x:c r="J49" s="4"/>
      <x:c r="K49" s="4"/>
      <x:c r="L49" s="4"/>
    </x:row>
    <x:row r="50" ht="19" customHeight="1">
      <x:c r="A50" s="1" t="str">
        <x:v>NWC change per 1 margin percentage point</x:v>
      </x:c>
      <x:c r="B50" s="1"/>
      <x:c r="C50" s="26" t="n">
        <x:f>-C24/100*('05_Assumptions'!H11-'05_Assumptions'!H13)/365</x:f>
        <x:v>0</x:v>
      </x:c>
      <x:c r="D50" s="26" t="n">
        <x:f>-D24/100*('05_Assumptions'!I11-'05_Assumptions'!I13)/365</x:f>
        <x:v>0</x:v>
      </x:c>
      <x:c r="E50" s="26" t="n">
        <x:f>-E24/100*('05_Assumptions'!J11-'05_Assumptions'!J13)/365</x:f>
        <x:v>0</x:v>
      </x:c>
      <x:c r="F50" s="26" t="n">
        <x:f>-F24/100*('05_Assumptions'!K11-'05_Assumptions'!K13)/365</x:f>
        <x:v>0</x:v>
      </x:c>
      <x:c r="G50" s="26" t="n">
        <x:f>-G24/100*('05_Assumptions'!L11-'05_Assumptions'!L13)/365</x:f>
        <x:v>0</x:v>
      </x:c>
      <x:c r="H50" s="4"/>
      <x:c r="I50" s="4"/>
      <x:c r="J50" s="4"/>
      <x:c r="K50" s="4"/>
      <x:c r="L50" s="4"/>
    </x:row>
    <x:row r="51" ht="19" customHeight="1">
      <x:c r="A51" s="1" t="str">
        <x:v>Incremental NWC investment per 1 point</x:v>
      </x:c>
      <x:c r="B51" s="1"/>
      <x:c r="C51" s="4" t="n">
        <x:f>C50</x:f>
        <x:v>0</x:v>
      </x:c>
      <x:c r="D51" s="4" t="n">
        <x:f>D50-C50</x:f>
        <x:v>0</x:v>
      </x:c>
      <x:c r="E51" s="4" t="n">
        <x:f>E50-D50</x:f>
        <x:v>0</x:v>
      </x:c>
      <x:c r="F51" s="4" t="n">
        <x:f>F50-E50</x:f>
        <x:v>0</x:v>
      </x:c>
      <x:c r="G51" s="4" t="n">
        <x:f>G50-F50</x:f>
        <x:v>0</x:v>
      </x:c>
      <x:c r="H51" s="4"/>
      <x:c r="I51" s="4"/>
      <x:c r="J51" s="4"/>
      <x:c r="K51" s="4"/>
      <x:c r="L51" s="4"/>
    </x:row>
    <x:row r="52" ht="19" customHeight="1">
      <x:c r="A52" s="1"/>
      <x:c r="B52" s="1"/>
      <x:c r="C52" s="4"/>
      <x:c r="D52" s="4"/>
      <x:c r="E52" s="4"/>
      <x:c r="F52" s="4"/>
      <x:c r="G52" s="4"/>
      <x:c r="H52" s="4"/>
      <x:c r="I52" s="4"/>
      <x:c r="J52" s="4"/>
      <x:c r="K52" s="4"/>
      <x:c r="L52" s="4"/>
    </x:row>
    <x:row r="53" ht="19" customHeight="1">
      <x:c r="A53" s="1"/>
      <x:c r="B53" s="1"/>
      <x:c r="C53" s="4"/>
      <x:c r="D53" s="4"/>
      <x:c r="E53" s="4"/>
      <x:c r="F53" s="4"/>
      <x:c r="G53" s="4"/>
      <x:c r="H53" s="4"/>
      <x:c r="I53" s="4"/>
      <x:c r="J53" s="4"/>
      <x:c r="K53" s="4"/>
      <x:c r="L53" s="4"/>
    </x:row>
    <x:row r="54" ht="19" customHeight="1">
      <x:c r="A54" s="1"/>
      <x:c r="B54" s="1"/>
      <x:c r="C54" s="4"/>
      <x:c r="D54" s="4"/>
      <x:c r="E54" s="4"/>
      <x:c r="F54" s="4"/>
      <x:c r="G54" s="4"/>
      <x:c r="H54" s="4"/>
      <x:c r="I54" s="4"/>
      <x:c r="J54" s="4"/>
      <x:c r="K54" s="4"/>
      <x:c r="L54" s="4"/>
    </x:row>
    <x:row r="55" ht="19" customHeight="1">
      <x:c r="A55" s="1"/>
      <x:c r="B55" s="1"/>
      <x:c r="C55" s="4"/>
      <x:c r="D55" s="4"/>
      <x:c r="E55" s="4"/>
      <x:c r="F55" s="4"/>
      <x:c r="G55" s="4"/>
      <x:c r="H55" s="4"/>
      <x:c r="I55" s="4"/>
      <x:c r="J55" s="4"/>
      <x:c r="K55" s="4"/>
      <x:c r="L55" s="4"/>
    </x:row>
    <x:row r="56" ht="19" customHeight="1">
      <x:c r="A56" s="1"/>
      <x:c r="B56" s="1"/>
      <x:c r="C56" s="4"/>
      <x:c r="D56" s="4"/>
      <x:c r="E56" s="4"/>
      <x:c r="F56" s="4"/>
      <x:c r="G56" s="4"/>
      <x:c r="H56" s="4"/>
      <x:c r="I56" s="4"/>
      <x:c r="J56" s="4"/>
      <x:c r="K56" s="4"/>
      <x:c r="L56" s="4"/>
    </x:row>
    <x:row r="57" ht="19" customHeight="1">
      <x:c r="A57" s="1"/>
      <x:c r="B57" s="1"/>
      <x:c r="C57" s="4"/>
      <x:c r="D57" s="4"/>
      <x:c r="E57" s="4"/>
      <x:c r="F57" s="4"/>
      <x:c r="G57" s="4"/>
      <x:c r="H57" s="4"/>
      <x:c r="I57" s="4"/>
      <x:c r="J57" s="4"/>
      <x:c r="K57" s="4"/>
      <x:c r="L57" s="4"/>
    </x:row>
    <x:row r="58" ht="19" customHeight="1">
      <x:c r="A58" s="1"/>
      <x:c r="B58" s="1"/>
      <x:c r="C58" s="4"/>
      <x:c r="D58" s="4"/>
      <x:c r="E58" s="4"/>
      <x:c r="F58" s="4"/>
      <x:c r="G58" s="4"/>
      <x:c r="H58" s="4"/>
      <x:c r="I58" s="4"/>
      <x:c r="J58" s="4"/>
      <x:c r="K58" s="4"/>
      <x:c r="L58" s="4"/>
    </x:row>
    <x:row r="59" ht="19" customHeight="1">
      <x:c r="A59" s="1"/>
      <x:c r="B59" s="1"/>
      <x:c r="C59" s="4"/>
      <x:c r="D59" s="4"/>
      <x:c r="E59" s="4"/>
      <x:c r="F59" s="4"/>
      <x:c r="G59" s="4"/>
      <x:c r="H59" s="4"/>
      <x:c r="I59" s="4"/>
      <x:c r="J59" s="4"/>
      <x:c r="K59" s="4"/>
      <x:c r="L59" s="4"/>
    </x:row>
    <x:row r="60" ht="19" customHeight="1">
      <x:c r="A60" s="1"/>
      <x:c r="B60" s="1"/>
      <x:c r="C60" s="4"/>
      <x:c r="D60" s="4"/>
      <x:c r="E60" s="4"/>
      <x:c r="F60" s="4"/>
      <x:c r="G60" s="4"/>
      <x:c r="H60" s="4"/>
      <x:c r="I60" s="4"/>
      <x:c r="J60" s="4"/>
      <x:c r="K60" s="4"/>
      <x:c r="L60" s="4"/>
    </x:row>
    <x:row r="61" ht="19" customHeight="1">
      <x:c r="A61" s="1"/>
      <x:c r="B61" s="1"/>
      <x:c r="C61" s="4"/>
      <x:c r="D61" s="4"/>
      <x:c r="E61" s="4"/>
      <x:c r="F61" s="4"/>
      <x:c r="G61" s="4"/>
      <x:c r="H61" s="4"/>
      <x:c r="I61" s="4"/>
      <x:c r="J61" s="4"/>
      <x:c r="K61" s="4"/>
      <x:c r="L61" s="4"/>
    </x:row>
    <x:row r="62" ht="19" customHeight="1">
      <x:c r="A62" s="1"/>
      <x:c r="B62" s="1"/>
      <x:c r="C62" s="4"/>
      <x:c r="D62" s="4"/>
      <x:c r="E62" s="4"/>
      <x:c r="F62" s="4"/>
      <x:c r="G62" s="4"/>
      <x:c r="H62" s="4"/>
      <x:c r="I62" s="4"/>
      <x:c r="J62" s="4"/>
      <x:c r="K62" s="4"/>
      <x:c r="L62" s="4"/>
    </x:row>
    <x:row r="63" ht="19" customHeight="1">
      <x:c r="A63" s="1"/>
      <x:c r="B63" s="1"/>
      <x:c r="C63" s="4"/>
      <x:c r="D63" s="4"/>
      <x:c r="E63" s="4"/>
      <x:c r="F63" s="4"/>
      <x:c r="G63" s="4"/>
      <x:c r="H63" s="4"/>
      <x:c r="I63" s="4"/>
      <x:c r="J63" s="4"/>
      <x:c r="K63" s="4"/>
      <x:c r="L63" s="4"/>
    </x:row>
    <x:row r="64" ht="19" customHeight="1">
      <x:c r="A64" s="1"/>
      <x:c r="B64" s="1"/>
      <x:c r="C64" s="4"/>
      <x:c r="D64" s="4"/>
      <x:c r="E64" s="4"/>
      <x:c r="F64" s="4"/>
      <x:c r="G64" s="4"/>
      <x:c r="H64" s="4"/>
      <x:c r="I64" s="4"/>
      <x:c r="J64" s="4"/>
      <x:c r="K64" s="4"/>
      <x:c r="L64" s="4"/>
    </x:row>
    <x:row r="65" ht="19" customHeight="1">
      <x:c r="A65" s="1"/>
      <x:c r="B65" s="1"/>
      <x:c r="C65" s="4"/>
      <x:c r="D65" s="4"/>
      <x:c r="E65" s="4"/>
      <x:c r="F65" s="4"/>
      <x:c r="G65" s="4"/>
      <x:c r="H65" s="4"/>
      <x:c r="I65" s="4"/>
      <x:c r="J65" s="4"/>
      <x:c r="K65" s="4"/>
      <x:c r="L65" s="4"/>
    </x:row>
    <x:row r="66" ht="19" customHeight="1">
      <x:c r="A66" s="1"/>
      <x:c r="B66" s="1"/>
      <x:c r="C66" s="4"/>
      <x:c r="D66" s="4"/>
      <x:c r="E66" s="4"/>
      <x:c r="F66" s="4"/>
      <x:c r="G66" s="4"/>
      <x:c r="H66" s="4"/>
      <x:c r="I66" s="4"/>
      <x:c r="J66" s="4"/>
      <x:c r="K66" s="4"/>
      <x:c r="L66" s="4"/>
    </x:row>
    <x:row r="67" ht="19" customHeight="1">
      <x:c r="A67" s="1"/>
      <x:c r="B67" s="1"/>
      <x:c r="C67" s="4"/>
      <x:c r="D67" s="4"/>
      <x:c r="E67" s="4"/>
      <x:c r="F67" s="4"/>
      <x:c r="G67" s="4"/>
      <x:c r="H67" s="4"/>
      <x:c r="I67" s="4"/>
      <x:c r="J67" s="4"/>
      <x:c r="K67" s="4"/>
      <x:c r="L67" s="4"/>
    </x:row>
    <x:row r="68" ht="19" customHeight="1">
      <x:c r="A68" s="1"/>
      <x:c r="B68" s="1"/>
      <x:c r="C68" s="4"/>
      <x:c r="D68" s="4"/>
      <x:c r="E68" s="4"/>
      <x:c r="F68" s="4"/>
      <x:c r="G68" s="4"/>
      <x:c r="H68" s="4"/>
      <x:c r="I68" s="4"/>
      <x:c r="J68" s="4"/>
      <x:c r="K68" s="4"/>
      <x:c r="L68" s="4"/>
    </x:row>
    <x:row r="69" ht="19" customHeight="1">
      <x:c r="A69" s="1"/>
      <x:c r="B69" s="1"/>
      <x:c r="C69" s="4"/>
      <x:c r="D69" s="4"/>
      <x:c r="E69" s="4"/>
      <x:c r="F69" s="4"/>
      <x:c r="G69" s="4"/>
      <x:c r="H69" s="4"/>
      <x:c r="I69" s="4"/>
      <x:c r="J69" s="4"/>
      <x:c r="K69" s="4"/>
      <x:c r="L69" s="4"/>
    </x:row>
    <x:row r="70" ht="19" customHeight="1">
      <x:c r="A70" s="1"/>
      <x:c r="B70" s="1"/>
      <x:c r="C70" s="4"/>
      <x:c r="D70" s="4"/>
      <x:c r="E70" s="4"/>
      <x:c r="F70" s="4"/>
      <x:c r="G70" s="4"/>
      <x:c r="H70" s="4"/>
      <x:c r="I70" s="4"/>
      <x:c r="J70" s="4"/>
      <x:c r="K70" s="4"/>
      <x:c r="L70" s="4"/>
    </x:row>
    <x:row r="71" ht="19" customHeight="1">
      <x:c r="A71" s="1"/>
      <x:c r="B71" s="1"/>
      <x:c r="C71" s="4"/>
      <x:c r="D71" s="4"/>
      <x:c r="E71" s="4"/>
      <x:c r="F71" s="4"/>
      <x:c r="G71" s="4"/>
      <x:c r="H71" s="4"/>
      <x:c r="I71" s="4"/>
      <x:c r="J71" s="4"/>
      <x:c r="K71" s="4"/>
      <x:c r="L71" s="4"/>
    </x:row>
    <x:row r="72" ht="19" customHeight="1">
      <x:c r="A72" s="1"/>
      <x:c r="B72" s="1"/>
      <x:c r="C72" s="4"/>
      <x:c r="D72" s="4"/>
      <x:c r="E72" s="4"/>
      <x:c r="F72" s="4"/>
      <x:c r="G72" s="4"/>
      <x:c r="H72" s="4"/>
      <x:c r="I72" s="4"/>
      <x:c r="J72" s="4"/>
      <x:c r="K72" s="4"/>
      <x:c r="L72" s="4"/>
    </x:row>
    <x:row r="73" ht="19" customHeight="1">
      <x:c r="A73" s="1"/>
      <x:c r="B73" s="1"/>
      <x:c r="C73" s="4"/>
      <x:c r="D73" s="4"/>
      <x:c r="E73" s="4"/>
      <x:c r="F73" s="4"/>
      <x:c r="G73" s="4"/>
      <x:c r="H73" s="4"/>
      <x:c r="I73" s="4"/>
      <x:c r="J73" s="4"/>
      <x:c r="K73" s="4"/>
      <x:c r="L73" s="4"/>
    </x:row>
    <x:row r="74" ht="19" customHeight="1">
      <x:c r="A74" s="1"/>
      <x:c r="B74" s="1"/>
      <x:c r="C74" s="4"/>
      <x:c r="D74" s="4"/>
      <x:c r="E74" s="4"/>
      <x:c r="F74" s="4"/>
      <x:c r="G74" s="4"/>
      <x:c r="H74" s="4"/>
      <x:c r="I74" s="4"/>
      <x:c r="J74" s="4"/>
      <x:c r="K74" s="4"/>
      <x:c r="L74" s="4"/>
    </x:row>
    <x:row r="75" ht="19" customHeight="1">
      <x:c r="A75" s="1"/>
      <x:c r="B75" s="1"/>
      <x:c r="C75" s="4"/>
      <x:c r="D75" s="4"/>
      <x:c r="E75" s="4"/>
      <x:c r="F75" s="4"/>
      <x:c r="G75" s="4"/>
      <x:c r="H75" s="4"/>
      <x:c r="I75" s="4"/>
      <x:c r="J75" s="4"/>
      <x:c r="K75" s="4"/>
      <x:c r="L75" s="4"/>
    </x:row>
    <x:row r="76" ht="19" customHeight="1">
      <x:c r="A76" s="1"/>
      <x:c r="B76" s="1"/>
      <x:c r="C76" s="4"/>
      <x:c r="D76" s="4"/>
      <x:c r="E76" s="4"/>
      <x:c r="F76" s="4"/>
      <x:c r="G76" s="4"/>
      <x:c r="H76" s="4"/>
      <x:c r="I76" s="4"/>
      <x:c r="J76" s="4"/>
      <x:c r="K76" s="4"/>
      <x:c r="L76" s="4"/>
    </x:row>
    <x:row r="77" ht="19" customHeight="1">
      <x:c r="A77" s="1"/>
      <x:c r="B77" s="1"/>
      <x:c r="C77" s="4"/>
      <x:c r="D77" s="4"/>
      <x:c r="E77" s="4"/>
      <x:c r="F77" s="4"/>
      <x:c r="G77" s="4"/>
      <x:c r="H77" s="4"/>
      <x:c r="I77" s="4"/>
      <x:c r="J77" s="4"/>
      <x:c r="K77" s="4"/>
      <x:c r="L77" s="4"/>
    </x:row>
    <x:row r="78" ht="19" customHeight="1">
      <x:c r="A78" s="1"/>
      <x:c r="B78" s="1"/>
      <x:c r="C78" s="4"/>
      <x:c r="D78" s="4"/>
      <x:c r="E78" s="4"/>
      <x:c r="F78" s="4"/>
      <x:c r="G78" s="4"/>
      <x:c r="H78" s="4"/>
      <x:c r="I78" s="4"/>
      <x:c r="J78" s="4"/>
      <x:c r="K78" s="4"/>
      <x:c r="L78" s="4"/>
    </x:row>
    <x:row r="79" ht="19" customHeight="1">
      <x:c r="A79" s="1"/>
      <x:c r="B79" s="1"/>
      <x:c r="C79" s="4"/>
      <x:c r="D79" s="4"/>
      <x:c r="E79" s="4"/>
      <x:c r="F79" s="4"/>
      <x:c r="G79" s="4"/>
      <x:c r="H79" s="4"/>
      <x:c r="I79" s="4"/>
      <x:c r="J79" s="4"/>
      <x:c r="K79" s="4"/>
      <x:c r="L79" s="4"/>
    </x:row>
    <x:row r="80" ht="19" customHeight="1">
      <x:c r="A80" s="1"/>
      <x:c r="B80" s="1"/>
      <x:c r="C80" s="4"/>
      <x:c r="D80" s="4"/>
      <x:c r="E80" s="4"/>
      <x:c r="F80" s="4"/>
      <x:c r="G80" s="4"/>
      <x:c r="H80" s="4"/>
      <x:c r="I80" s="4"/>
      <x:c r="J80" s="4"/>
      <x:c r="K80" s="4"/>
      <x:c r="L80" s="4"/>
    </x:row>
    <x:row r="81" ht="19" customHeight="1">
      <x:c r="A81" s="1"/>
      <x:c r="B81" s="1"/>
      <x:c r="C81" s="4"/>
      <x:c r="D81" s="4"/>
      <x:c r="E81" s="4"/>
      <x:c r="F81" s="4"/>
      <x:c r="G81" s="4"/>
      <x:c r="H81" s="4"/>
      <x:c r="I81" s="4"/>
      <x:c r="J81" s="4"/>
      <x:c r="K81" s="4"/>
      <x:c r="L81" s="4"/>
    </x:row>
    <x:row r="82" ht="19" customHeight="1">
      <x:c r="A82" s="1"/>
      <x:c r="B82" s="1"/>
      <x:c r="C82" s="4"/>
      <x:c r="D82" s="4"/>
      <x:c r="E82" s="4"/>
      <x:c r="F82" s="4"/>
      <x:c r="G82" s="4"/>
      <x:c r="H82" s="4"/>
      <x:c r="I82" s="4"/>
      <x:c r="J82" s="4"/>
      <x:c r="K82" s="4"/>
      <x:c r="L82" s="4"/>
    </x:row>
    <x:row r="83" ht="19" customHeight="1">
      <x:c r="A83" s="1"/>
      <x:c r="B83" s="1"/>
      <x:c r="C83" s="4"/>
      <x:c r="D83" s="4"/>
      <x:c r="E83" s="4"/>
      <x:c r="F83" s="4"/>
      <x:c r="G83" s="4"/>
      <x:c r="H83" s="4"/>
      <x:c r="I83" s="4"/>
      <x:c r="J83" s="4"/>
      <x:c r="K83" s="4"/>
      <x:c r="L83" s="4"/>
    </x:row>
    <x:row r="84" ht="19" customHeight="1">
      <x:c r="A84" s="1"/>
      <x:c r="B84" s="1"/>
      <x:c r="C84" s="4"/>
      <x:c r="D84" s="4"/>
      <x:c r="E84" s="4"/>
      <x:c r="F84" s="4"/>
      <x:c r="G84" s="4"/>
      <x:c r="H84" s="4"/>
      <x:c r="I84" s="4"/>
      <x:c r="J84" s="4"/>
      <x:c r="K84" s="4"/>
      <x:c r="L84" s="4"/>
    </x:row>
    <x:row r="85" ht="19" customHeight="1">
      <x:c r="A85" s="1"/>
      <x:c r="B85" s="1"/>
      <x:c r="C85" s="4"/>
      <x:c r="D85" s="4"/>
      <x:c r="E85" s="4"/>
      <x:c r="F85" s="4"/>
      <x:c r="G85" s="4"/>
      <x:c r="H85" s="4"/>
      <x:c r="I85" s="4"/>
      <x:c r="J85" s="4"/>
      <x:c r="K85" s="4"/>
      <x:c r="L85" s="4"/>
    </x:row>
    <x:row r="86" ht="19" customHeight="1">
      <x:c r="A86" s="1"/>
      <x:c r="B86" s="1"/>
      <x:c r="C86" s="4"/>
      <x:c r="D86" s="4"/>
      <x:c r="E86" s="4"/>
      <x:c r="F86" s="4"/>
      <x:c r="G86" s="4"/>
      <x:c r="H86" s="4"/>
      <x:c r="I86" s="4"/>
      <x:c r="J86" s="4"/>
      <x:c r="K86" s="4"/>
      <x:c r="L86" s="4"/>
    </x:row>
    <x:row r="87" ht="19" customHeight="1">
      <x:c r="A87" s="1"/>
      <x:c r="B87" s="1"/>
      <x:c r="C87" s="4"/>
      <x:c r="D87" s="4"/>
      <x:c r="E87" s="4"/>
      <x:c r="F87" s="4"/>
      <x:c r="G87" s="4"/>
      <x:c r="H87" s="4"/>
      <x:c r="I87" s="4"/>
      <x:c r="J87" s="4"/>
      <x:c r="K87" s="4"/>
      <x:c r="L87" s="4"/>
    </x:row>
    <x:row r="88" ht="19" customHeight="1">
      <x:c r="A88" s="1"/>
      <x:c r="B88" s="1"/>
      <x:c r="C88" s="4"/>
      <x:c r="D88" s="4"/>
      <x:c r="E88" s="4"/>
      <x:c r="F88" s="4"/>
      <x:c r="G88" s="4"/>
      <x:c r="H88" s="4"/>
      <x:c r="I88" s="4"/>
      <x:c r="J88" s="4"/>
      <x:c r="K88" s="4"/>
      <x:c r="L88" s="4"/>
    </x:row>
    <x:row r="89" ht="19" customHeight="1">
      <x:c r="A89" s="1"/>
      <x:c r="B89" s="1"/>
      <x:c r="C89" s="4"/>
      <x:c r="D89" s="4"/>
      <x:c r="E89" s="4"/>
      <x:c r="F89" s="4"/>
      <x:c r="G89" s="4"/>
      <x:c r="H89" s="4"/>
      <x:c r="I89" s="4"/>
      <x:c r="J89" s="4"/>
      <x:c r="K89" s="4"/>
      <x:c r="L89" s="4"/>
    </x:row>
    <x:row r="90" ht="19" customHeight="1">
      <x:c r="A90" s="1"/>
      <x:c r="B90" s="1"/>
      <x:c r="C90" s="4"/>
      <x:c r="D90" s="4"/>
      <x:c r="E90" s="4"/>
      <x:c r="F90" s="4"/>
      <x:c r="G90" s="4"/>
      <x:c r="H90" s="4"/>
      <x:c r="I90" s="4"/>
      <x:c r="J90" s="4"/>
      <x:c r="K90" s="4"/>
      <x:c r="L90" s="4"/>
    </x:row>
    <x:row r="91" ht="19" customHeight="1">
      <x:c r="A91" s="1"/>
      <x:c r="B91" s="1"/>
      <x:c r="C91" s="4"/>
      <x:c r="D91" s="4"/>
      <x:c r="E91" s="4"/>
      <x:c r="F91" s="4"/>
      <x:c r="G91" s="4"/>
      <x:c r="H91" s="4"/>
      <x:c r="I91" s="4"/>
      <x:c r="J91" s="4"/>
      <x:c r="K91" s="4"/>
      <x:c r="L91" s="4"/>
    </x:row>
    <x:row r="92" ht="19" customHeight="1">
      <x:c r="A92" s="1"/>
      <x:c r="B92" s="1"/>
      <x:c r="C92" s="4"/>
      <x:c r="D92" s="4"/>
      <x:c r="E92" s="4"/>
      <x:c r="F92" s="4"/>
      <x:c r="G92" s="4"/>
      <x:c r="H92" s="4"/>
      <x:c r="I92" s="4"/>
      <x:c r="J92" s="4"/>
      <x:c r="K92" s="4"/>
      <x:c r="L92" s="4"/>
    </x:row>
    <x:row r="93" ht="19" customHeight="1">
      <x:c r="A93" s="1"/>
      <x:c r="B93" s="1"/>
      <x:c r="C93" s="4"/>
      <x:c r="D93" s="4"/>
      <x:c r="E93" s="4"/>
      <x:c r="F93" s="4"/>
      <x:c r="G93" s="4"/>
      <x:c r="H93" s="4"/>
      <x:c r="I93" s="4"/>
      <x:c r="J93" s="4"/>
      <x:c r="K93" s="4"/>
      <x:c r="L93" s="4"/>
    </x:row>
    <x:row r="94" ht="19" customHeight="1">
      <x:c r="A94" s="1"/>
      <x:c r="B94" s="1"/>
      <x:c r="C94" s="4"/>
      <x:c r="D94" s="4"/>
      <x:c r="E94" s="4"/>
      <x:c r="F94" s="4"/>
      <x:c r="G94" s="4"/>
      <x:c r="H94" s="4"/>
      <x:c r="I94" s="4"/>
      <x:c r="J94" s="4"/>
      <x:c r="K94" s="4"/>
      <x:c r="L94" s="4"/>
    </x:row>
    <x:row r="95" ht="19" customHeight="1">
      <x:c r="A95" s="1"/>
      <x:c r="B95" s="1"/>
      <x:c r="C95" s="4"/>
      <x:c r="D95" s="4"/>
      <x:c r="E95" s="4"/>
      <x:c r="F95" s="4"/>
      <x:c r="G95" s="4"/>
      <x:c r="H95" s="4"/>
      <x:c r="I95" s="4"/>
      <x:c r="J95" s="4"/>
      <x:c r="K95" s="4"/>
      <x:c r="L95" s="4"/>
    </x:row>
    <x:row r="96" ht="19" customHeight="1">
      <x:c r="A96" s="1"/>
      <x:c r="B96" s="1"/>
      <x:c r="C96" s="4"/>
      <x:c r="D96" s="4"/>
      <x:c r="E96" s="4"/>
      <x:c r="F96" s="4"/>
      <x:c r="G96" s="4"/>
      <x:c r="H96" s="4"/>
      <x:c r="I96" s="4"/>
      <x:c r="J96" s="4"/>
      <x:c r="K96" s="4"/>
      <x:c r="L96" s="4"/>
    </x:row>
    <x:row r="97" ht="19" customHeight="1">
      <x:c r="A97" s="1"/>
      <x:c r="B97" s="1"/>
      <x:c r="C97" s="4"/>
      <x:c r="D97" s="4"/>
      <x:c r="E97" s="4"/>
      <x:c r="F97" s="4"/>
      <x:c r="G97" s="4"/>
      <x:c r="H97" s="4"/>
      <x:c r="I97" s="4"/>
      <x:c r="J97" s="4"/>
      <x:c r="K97" s="4"/>
      <x:c r="L97" s="4"/>
    </x:row>
    <x:row r="98" ht="19" customHeight="1">
      <x:c r="A98" s="1"/>
      <x:c r="B98" s="1"/>
      <x:c r="C98" s="4"/>
      <x:c r="D98" s="4"/>
      <x:c r="E98" s="4"/>
      <x:c r="F98" s="4"/>
      <x:c r="G98" s="4"/>
      <x:c r="H98" s="4"/>
      <x:c r="I98" s="4"/>
      <x:c r="J98" s="4"/>
      <x:c r="K98" s="4"/>
      <x:c r="L98" s="4"/>
    </x:row>
    <x:row r="99" ht="19" customHeight="1">
      <x:c r="A99" s="1"/>
      <x:c r="B99" s="1"/>
      <x:c r="C99" s="4"/>
      <x:c r="D99" s="4"/>
      <x:c r="E99" s="4"/>
      <x:c r="F99" s="4"/>
      <x:c r="G99" s="4"/>
      <x:c r="H99" s="4"/>
      <x:c r="I99" s="4"/>
      <x:c r="J99" s="4"/>
      <x:c r="K99" s="4"/>
      <x:c r="L99" s="4"/>
    </x:row>
    <x:row r="100" ht="19" customHeight="1">
      <x:c r="A100" s="1"/>
      <x:c r="B100" s="1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</x:row>
    <x:row r="101" ht="19" customHeight="1">
      <x:c r="A101" s="1"/>
      <x:c r="B101" s="1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</x:row>
    <x:row r="102" ht="19" customHeight="1">
      <x:c r="A102" s="1"/>
      <x:c r="B102" s="1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</x:row>
    <x:row r="103" ht="19" customHeight="1">
      <x:c r="A103" s="1"/>
      <x:c r="B103" s="1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</x:row>
    <x:row r="104" ht="19" customHeight="1">
      <x:c r="A104" s="1"/>
      <x:c r="B104" s="1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</x:row>
    <x:row r="105" ht="19" customHeight="1">
      <x:c r="A105" s="1"/>
      <x:c r="B105" s="1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</x:row>
    <x:row r="106" ht="19" customHeight="1">
      <x:c r="A106" s="1"/>
      <x:c r="B106" s="1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</x:row>
    <x:row r="107" ht="19" customHeight="1">
      <x:c r="A107" s="1"/>
      <x:c r="B107" s="1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</x:row>
    <x:row r="108" ht="19" customHeight="1">
      <x:c r="A108" s="1"/>
      <x:c r="B108" s="1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</x:row>
    <x:row r="109" ht="19" customHeight="1">
      <x:c r="A109" s="1"/>
      <x:c r="B109" s="1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</x:row>
    <x:row r="110" ht="19" customHeight="1">
      <x:c r="A110" s="1"/>
      <x:c r="B110" s="1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</x:row>
    <x:row r="111" ht="19" customHeight="1">
      <x:c r="A111" s="1"/>
      <x:c r="B111" s="1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</x:row>
    <x:row r="112" ht="19" customHeight="1">
      <x:c r="A112" s="1"/>
      <x:c r="B112" s="1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</x:row>
    <x:row r="113" ht="19" customHeight="1">
      <x:c r="A113" s="1"/>
      <x:c r="B113" s="1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</x:row>
    <x:row r="114" ht="19" customHeight="1">
      <x:c r="A114" s="1"/>
      <x:c r="B114" s="1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</x:row>
    <x:row r="115" ht="19" customHeight="1">
      <x:c r="A115" s="1"/>
      <x:c r="B115" s="1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</x:row>
    <x:row r="116" ht="19" customHeight="1">
      <x:c r="A116" s="1"/>
      <x:c r="B116" s="1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</x:row>
    <x:row r="117" ht="19" customHeight="1">
      <x:c r="A117" s="1"/>
      <x:c r="B117" s="1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</x:row>
    <x:row r="118" ht="19" customHeight="1">
      <x:c r="A118" s="1"/>
      <x:c r="B118" s="1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</x:row>
    <x:row r="119" ht="19" customHeight="1">
      <x:c r="A119" s="1"/>
      <x:c r="B119" s="1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</x:row>
    <x:row r="120" ht="19" customHeight="1">
      <x:c r="A120" s="1"/>
      <x:c r="B120" s="1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</x:row>
    <x:row r="121" ht="19" customHeight="1">
      <x:c r="A121" s="1"/>
      <x:c r="B121" s="1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</x:row>
    <x:row r="122" ht="19" customHeight="1">
      <x:c r="A122" s="1"/>
      <x:c r="B122" s="1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</x:row>
    <x:row r="123" ht="19" customHeight="1">
      <x:c r="A123" s="1"/>
      <x:c r="B123" s="1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</x:row>
    <x:row r="124" ht="19" customHeight="1">
      <x:c r="A124" s="1"/>
      <x:c r="B124" s="1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</x:row>
    <x:row r="125" ht="19" customHeight="1">
      <x:c r="A125" s="1"/>
      <x:c r="B125" s="1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</x:row>
  </x:sheetData>
  <x:mergeCells>
    <x:mergeCell ref="A44:G44"/>
    <x:mergeCell ref="A46:G46"/>
    <x:mergeCell ref="A48:G48"/>
  </x:mergeCells>
  <x:conditionalFormatting sqref="C18:C18">
    <x:cfRule type="expression" dxfId="7" priority="1">
      <x:formula>ABS(C18)&gt;0.03</x:formula>
    </x:cfRule>
    <x:cfRule type="expression" dxfId="15" priority="2">
      <x:formula>ABS(C18)&gt;0.03</x:formula>
    </x:cfRule>
  </x:conditionalFormatting>
  <x:pageMargins left="0.7" right="0.7" top="0.75" bottom="0.75" header="0.3" footer="0.3"/>
</x:worksheet>
</file>